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EG_analysis\Data\MeteoData\Stations\"/>
    </mc:Choice>
  </mc:AlternateContent>
  <xr:revisionPtr revIDLastSave="0" documentId="13_ncr:1_{DF90DAC3-23A4-4039-9C46-E6A0FD435EC3}" xr6:coauthVersionLast="47" xr6:coauthVersionMax="47" xr10:uidLastSave="{00000000-0000-0000-0000-000000000000}"/>
  <bookViews>
    <workbookView xWindow="1760" yWindow="3200" windowWidth="34390" windowHeight="17410" activeTab="4" xr2:uid="{B9574FE2-8FD8-45E6-BD51-209E0069A50B}"/>
  </bookViews>
  <sheets>
    <sheet name="stations_per_canton" sheetId="1" r:id="rId1"/>
    <sheet name="ogd-smn_meta_stations" sheetId="2" r:id="rId2"/>
    <sheet name="ogd-smn-tower_meta_stations" sheetId="3" r:id="rId3"/>
    <sheet name="ogd-smn_meta_parameters" sheetId="4" r:id="rId4"/>
    <sheet name="T_parameters_overview" sheetId="5" r:id="rId5"/>
  </sheets>
  <definedNames>
    <definedName name="_xlnm._FilterDatabase" localSheetId="4" hidden="1">T_parameters_overview!$A$2:$K$187</definedName>
    <definedName name="ExternalData_1" localSheetId="3" hidden="1">'ogd-smn_meta_parameters'!$A$1:$M$155</definedName>
    <definedName name="ExternalData_1" localSheetId="1" hidden="1">'ogd-smn_meta_stations'!$A$1:$X$159</definedName>
    <definedName name="ExternalData_1" localSheetId="2" hidden="1">'ogd-smn-tower_meta_stations'!$A$1:$X$5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5" l="1" a="1"/>
  <c r="G2" i="5" s="1"/>
  <c r="H2" i="5" a="1"/>
  <c r="H2" i="5" s="1"/>
  <c r="I2" i="5" a="1"/>
  <c r="I2" i="5" s="1"/>
  <c r="J2" i="5" a="1"/>
  <c r="J2" i="5" s="1"/>
  <c r="K2" i="5" a="1"/>
  <c r="K2" i="5" s="1"/>
  <c r="F2" i="5" a="1"/>
  <c r="F2" i="5" s="1"/>
  <c r="W186" i="5"/>
  <c r="X186" i="5" s="1"/>
  <c r="D186" i="5" s="1"/>
  <c r="S186" i="5"/>
  <c r="T186" i="5" s="1"/>
  <c r="U186" i="5" s="1"/>
  <c r="P186" i="5"/>
  <c r="Q186" i="5" s="1"/>
  <c r="W180" i="5"/>
  <c r="S180" i="5"/>
  <c r="T180" i="5" s="1"/>
  <c r="P180" i="5"/>
  <c r="Q180" i="5" s="1"/>
  <c r="B180" i="5" s="1"/>
  <c r="E180" i="5" s="1"/>
  <c r="W174" i="5"/>
  <c r="S174" i="5"/>
  <c r="T174" i="5" s="1"/>
  <c r="P174" i="5"/>
  <c r="Q174" i="5" s="1"/>
  <c r="B174" i="5" s="1"/>
  <c r="H174" i="5" s="1"/>
  <c r="W168" i="5"/>
  <c r="S168" i="5"/>
  <c r="T168" i="5" s="1"/>
  <c r="P168" i="5"/>
  <c r="W162" i="5"/>
  <c r="X162" i="5" s="1"/>
  <c r="S162" i="5"/>
  <c r="T162" i="5" s="1"/>
  <c r="P162" i="5"/>
  <c r="W156" i="5"/>
  <c r="X156" i="5" s="1"/>
  <c r="D156" i="5" s="1"/>
  <c r="S156" i="5"/>
  <c r="T156" i="5" s="1"/>
  <c r="U156" i="5" s="1"/>
  <c r="P156" i="5"/>
  <c r="Q156" i="5" s="1"/>
  <c r="B156" i="5" s="1"/>
  <c r="I156" i="5" s="1"/>
  <c r="W150" i="5"/>
  <c r="X150" i="5" s="1"/>
  <c r="D150" i="5" s="1"/>
  <c r="S150" i="5"/>
  <c r="T150" i="5" s="1"/>
  <c r="U150" i="5" s="1"/>
  <c r="P150" i="5"/>
  <c r="Q150" i="5" s="1"/>
  <c r="B150" i="5" s="1"/>
  <c r="J150" i="5" s="1"/>
  <c r="W144" i="5"/>
  <c r="S144" i="5"/>
  <c r="T144" i="5" s="1"/>
  <c r="U144" i="5" s="1"/>
  <c r="C144" i="5" s="1"/>
  <c r="P144" i="5"/>
  <c r="Q144" i="5" s="1"/>
  <c r="B144" i="5" s="1"/>
  <c r="I144" i="5" s="1"/>
  <c r="W138" i="5"/>
  <c r="S138" i="5"/>
  <c r="T138" i="5" s="1"/>
  <c r="P138" i="5"/>
  <c r="Q138" i="5" s="1"/>
  <c r="B138" i="5" s="1"/>
  <c r="F138" i="5" s="1"/>
  <c r="W132" i="5"/>
  <c r="S132" i="5"/>
  <c r="T132" i="5" s="1"/>
  <c r="P132" i="5"/>
  <c r="W126" i="5"/>
  <c r="X126" i="5" s="1"/>
  <c r="D126" i="5" s="1"/>
  <c r="S126" i="5"/>
  <c r="T126" i="5" s="1"/>
  <c r="P126" i="5"/>
  <c r="W120" i="5"/>
  <c r="X120" i="5" s="1"/>
  <c r="S120" i="5"/>
  <c r="T120" i="5" s="1"/>
  <c r="U120" i="5" s="1"/>
  <c r="P120" i="5"/>
  <c r="Q120" i="5" s="1"/>
  <c r="B120" i="5" s="1"/>
  <c r="E120" i="5" s="1"/>
  <c r="W114" i="5"/>
  <c r="X114" i="5" s="1"/>
  <c r="D114" i="5" s="1"/>
  <c r="S114" i="5"/>
  <c r="T114" i="5" s="1"/>
  <c r="U114" i="5" s="1"/>
  <c r="P114" i="5"/>
  <c r="Q114" i="5" s="1"/>
  <c r="W108" i="5"/>
  <c r="S108" i="5"/>
  <c r="T108" i="5" s="1"/>
  <c r="U108" i="5" s="1"/>
  <c r="C108" i="5" s="1"/>
  <c r="P108" i="5"/>
  <c r="Q108" i="5" s="1"/>
  <c r="B108" i="5" s="1"/>
  <c r="E108" i="5" s="1"/>
  <c r="W102" i="5"/>
  <c r="S102" i="5"/>
  <c r="T102" i="5" s="1"/>
  <c r="P102" i="5"/>
  <c r="Q102" i="5" s="1"/>
  <c r="B102" i="5" s="1"/>
  <c r="H102" i="5" s="1"/>
  <c r="W96" i="5"/>
  <c r="S96" i="5"/>
  <c r="T96" i="5" s="1"/>
  <c r="P96" i="5"/>
  <c r="W90" i="5"/>
  <c r="X90" i="5" s="1"/>
  <c r="S90" i="5"/>
  <c r="T90" i="5" s="1"/>
  <c r="P90" i="5"/>
  <c r="W84" i="5"/>
  <c r="X84" i="5" s="1"/>
  <c r="D84" i="5" s="1"/>
  <c r="S84" i="5"/>
  <c r="T84" i="5" s="1"/>
  <c r="U84" i="5" s="1"/>
  <c r="P84" i="5"/>
  <c r="Q84" i="5" s="1"/>
  <c r="B84" i="5" s="1"/>
  <c r="J84" i="5" s="1"/>
  <c r="W78" i="5"/>
  <c r="X78" i="5" s="1"/>
  <c r="D78" i="5" s="1"/>
  <c r="S78" i="5"/>
  <c r="T78" i="5" s="1"/>
  <c r="U78" i="5" s="1"/>
  <c r="P78" i="5"/>
  <c r="Q78" i="5" s="1"/>
  <c r="W72" i="5"/>
  <c r="S72" i="5"/>
  <c r="T72" i="5" s="1"/>
  <c r="U72" i="5" s="1"/>
  <c r="C72" i="5" s="1"/>
  <c r="P72" i="5"/>
  <c r="Q72" i="5" s="1"/>
  <c r="W66" i="5"/>
  <c r="S66" i="5"/>
  <c r="T66" i="5" s="1"/>
  <c r="P66" i="5"/>
  <c r="Q66" i="5" s="1"/>
  <c r="B66" i="5" s="1"/>
  <c r="J66" i="5" s="1"/>
  <c r="W60" i="5"/>
  <c r="S60" i="5"/>
  <c r="T60" i="5" s="1"/>
  <c r="P60" i="5"/>
  <c r="W54" i="5"/>
  <c r="X54" i="5" s="1"/>
  <c r="S54" i="5"/>
  <c r="T54" i="5" s="1"/>
  <c r="P54" i="5"/>
  <c r="W48" i="5"/>
  <c r="X48" i="5" s="1"/>
  <c r="S48" i="5"/>
  <c r="T48" i="5" s="1"/>
  <c r="P48" i="5"/>
  <c r="Q48" i="5" s="1"/>
  <c r="B48" i="5" s="1"/>
  <c r="E48" i="5" s="1"/>
  <c r="W42" i="5"/>
  <c r="X42" i="5" s="1"/>
  <c r="D42" i="5" s="1"/>
  <c r="S42" i="5"/>
  <c r="T42" i="5" s="1"/>
  <c r="U42" i="5" s="1"/>
  <c r="P42" i="5"/>
  <c r="Q42" i="5" s="1"/>
  <c r="B42" i="5" s="1"/>
  <c r="J42" i="5" s="1"/>
  <c r="W36" i="5"/>
  <c r="S36" i="5"/>
  <c r="T36" i="5" s="1"/>
  <c r="U36" i="5" s="1"/>
  <c r="P36" i="5"/>
  <c r="Q36" i="5" s="1"/>
  <c r="W30" i="5"/>
  <c r="S30" i="5"/>
  <c r="T30" i="5" s="1"/>
  <c r="P30" i="5"/>
  <c r="Q30" i="5" s="1"/>
  <c r="W24" i="5"/>
  <c r="X24" i="5" s="1"/>
  <c r="S24" i="5"/>
  <c r="T24" i="5" s="1"/>
  <c r="P24" i="5"/>
  <c r="W18" i="5"/>
  <c r="X18" i="5" s="1"/>
  <c r="S18" i="5"/>
  <c r="T18" i="5" s="1"/>
  <c r="P18" i="5"/>
  <c r="Q18" i="5" s="1"/>
  <c r="W12" i="5"/>
  <c r="X12" i="5" s="1"/>
  <c r="S12" i="5"/>
  <c r="T12" i="5" s="1"/>
  <c r="P12" i="5"/>
  <c r="Q12" i="5" s="1"/>
  <c r="B12" i="5" s="1"/>
  <c r="E12" i="5" s="1"/>
  <c r="W6" i="5"/>
  <c r="X6" i="5" s="1"/>
  <c r="S6" i="5"/>
  <c r="T6" i="5" s="1"/>
  <c r="P6" i="5"/>
  <c r="Q6" i="5" s="1"/>
  <c r="C78" i="5" l="1"/>
  <c r="C42" i="5"/>
  <c r="K120" i="5"/>
  <c r="E156" i="5"/>
  <c r="G48" i="5"/>
  <c r="J48" i="5"/>
  <c r="G138" i="5"/>
  <c r="K156" i="5"/>
  <c r="F48" i="5"/>
  <c r="H138" i="5"/>
  <c r="I138" i="5"/>
  <c r="C186" i="5"/>
  <c r="F156" i="5"/>
  <c r="J102" i="5"/>
  <c r="J180" i="5"/>
  <c r="K48" i="5"/>
  <c r="K102" i="5"/>
  <c r="I174" i="5"/>
  <c r="F180" i="5"/>
  <c r="H66" i="5"/>
  <c r="J138" i="5"/>
  <c r="G180" i="5"/>
  <c r="K66" i="5"/>
  <c r="K138" i="5"/>
  <c r="F66" i="5"/>
  <c r="E66" i="5"/>
  <c r="I66" i="5"/>
  <c r="F150" i="5"/>
  <c r="H180" i="5"/>
  <c r="K144" i="5"/>
  <c r="H150" i="5"/>
  <c r="J174" i="5"/>
  <c r="G66" i="5"/>
  <c r="C150" i="5"/>
  <c r="E138" i="5"/>
  <c r="I102" i="5"/>
  <c r="G150" i="5"/>
  <c r="I180" i="5"/>
  <c r="K150" i="5"/>
  <c r="F108" i="5"/>
  <c r="I150" i="5"/>
  <c r="G108" i="5"/>
  <c r="D90" i="5"/>
  <c r="H108" i="5"/>
  <c r="G156" i="5"/>
  <c r="K174" i="5"/>
  <c r="H48" i="5"/>
  <c r="I108" i="5"/>
  <c r="H156" i="5"/>
  <c r="K108" i="5"/>
  <c r="K180" i="5"/>
  <c r="E150" i="5"/>
  <c r="K84" i="5"/>
  <c r="I48" i="5"/>
  <c r="J156" i="5"/>
  <c r="K42" i="5"/>
  <c r="E144" i="5"/>
  <c r="F120" i="5"/>
  <c r="G120" i="5"/>
  <c r="I120" i="5"/>
  <c r="J120" i="5"/>
  <c r="F84" i="5"/>
  <c r="J108" i="5"/>
  <c r="F42" i="5"/>
  <c r="G84" i="5"/>
  <c r="E102" i="5"/>
  <c r="E174" i="5"/>
  <c r="G42" i="5"/>
  <c r="H84" i="5"/>
  <c r="F144" i="5"/>
  <c r="H42" i="5"/>
  <c r="I84" i="5"/>
  <c r="F102" i="5"/>
  <c r="G144" i="5"/>
  <c r="F174" i="5"/>
  <c r="J144" i="5"/>
  <c r="H120" i="5"/>
  <c r="E84" i="5"/>
  <c r="E42" i="5"/>
  <c r="G102" i="5"/>
  <c r="G174" i="5"/>
  <c r="I42" i="5"/>
  <c r="H144" i="5"/>
  <c r="C114" i="5"/>
  <c r="D12" i="5"/>
  <c r="B78" i="5"/>
  <c r="K78" i="5" s="1"/>
  <c r="D162" i="5"/>
  <c r="B186" i="5"/>
  <c r="K186" i="5" s="1"/>
  <c r="B30" i="5"/>
  <c r="K30" i="5" s="1"/>
  <c r="B114" i="5"/>
  <c r="K114" i="5" s="1"/>
  <c r="U6" i="5"/>
  <c r="C6" i="5" s="1"/>
  <c r="D48" i="5"/>
  <c r="B36" i="5"/>
  <c r="K36" i="5" s="1"/>
  <c r="C120" i="5"/>
  <c r="D120" i="5"/>
  <c r="C36" i="5"/>
  <c r="B72" i="5"/>
  <c r="K72" i="5" s="1"/>
  <c r="U48" i="5"/>
  <c r="C48" i="5" s="1"/>
  <c r="U102" i="5"/>
  <c r="C102" i="5" s="1"/>
  <c r="U18" i="5"/>
  <c r="C18" i="5" s="1"/>
  <c r="U174" i="5"/>
  <c r="C174" i="5" s="1"/>
  <c r="U24" i="5"/>
  <c r="C24" i="5" s="1"/>
  <c r="U90" i="5"/>
  <c r="C90" i="5" s="1"/>
  <c r="U60" i="5"/>
  <c r="C60" i="5" s="1"/>
  <c r="U162" i="5"/>
  <c r="C162" i="5" s="1"/>
  <c r="U12" i="5"/>
  <c r="C12" i="5" s="1"/>
  <c r="U30" i="5"/>
  <c r="C30" i="5" s="1"/>
  <c r="U132" i="5"/>
  <c r="C132" i="5" s="1"/>
  <c r="U54" i="5"/>
  <c r="C54" i="5" s="1"/>
  <c r="U66" i="5"/>
  <c r="C66" i="5" s="1"/>
  <c r="U96" i="5"/>
  <c r="C96" i="5" s="1"/>
  <c r="U126" i="5"/>
  <c r="C126" i="5" s="1"/>
  <c r="U138" i="5"/>
  <c r="C138" i="5" s="1"/>
  <c r="U168" i="5"/>
  <c r="C168" i="5" s="1"/>
  <c r="X36" i="5"/>
  <c r="D36" i="5" s="1"/>
  <c r="U180" i="5"/>
  <c r="C180" i="5" s="1"/>
  <c r="X66" i="5"/>
  <c r="D66" i="5" s="1"/>
  <c r="X96" i="5"/>
  <c r="D96" i="5" s="1"/>
  <c r="X138" i="5"/>
  <c r="D138" i="5" s="1"/>
  <c r="X168" i="5"/>
  <c r="D168" i="5" s="1"/>
  <c r="Q60" i="5"/>
  <c r="B60" i="5" s="1"/>
  <c r="K60" i="5" s="1"/>
  <c r="Q90" i="5"/>
  <c r="B90" i="5" s="1"/>
  <c r="K90" i="5" s="1"/>
  <c r="X108" i="5"/>
  <c r="D108" i="5" s="1"/>
  <c r="Q132" i="5"/>
  <c r="B132" i="5" s="1"/>
  <c r="K132" i="5" s="1"/>
  <c r="Q162" i="5"/>
  <c r="B162" i="5" s="1"/>
  <c r="K162" i="5" s="1"/>
  <c r="X180" i="5"/>
  <c r="D180" i="5" s="1"/>
  <c r="Q24" i="5"/>
  <c r="B24" i="5" s="1"/>
  <c r="K24" i="5" s="1"/>
  <c r="X30" i="5"/>
  <c r="D30" i="5" s="1"/>
  <c r="C84" i="5"/>
  <c r="C156" i="5"/>
  <c r="D54" i="5"/>
  <c r="X60" i="5"/>
  <c r="D60" i="5" s="1"/>
  <c r="X102" i="5"/>
  <c r="D102" i="5" s="1"/>
  <c r="X132" i="5"/>
  <c r="D132" i="5" s="1"/>
  <c r="X174" i="5"/>
  <c r="D174" i="5" s="1"/>
  <c r="D18" i="5"/>
  <c r="D24" i="5"/>
  <c r="Q54" i="5"/>
  <c r="B54" i="5" s="1"/>
  <c r="K54" i="5" s="1"/>
  <c r="X72" i="5"/>
  <c r="D72" i="5" s="1"/>
  <c r="Q96" i="5"/>
  <c r="B96" i="5" s="1"/>
  <c r="K96" i="5" s="1"/>
  <c r="Q126" i="5"/>
  <c r="B126" i="5" s="1"/>
  <c r="K126" i="5" s="1"/>
  <c r="X144" i="5"/>
  <c r="D144" i="5" s="1"/>
  <c r="Q168" i="5"/>
  <c r="B168" i="5" s="1"/>
  <c r="K168" i="5" s="1"/>
  <c r="B18" i="5"/>
  <c r="K18" i="5" s="1"/>
  <c r="D6" i="5"/>
  <c r="B6" i="5"/>
  <c r="E6" i="5" s="1"/>
  <c r="J114" i="5" l="1"/>
  <c r="I114" i="5"/>
  <c r="E114" i="5"/>
  <c r="H114" i="5"/>
  <c r="G114" i="5"/>
  <c r="F114" i="5"/>
  <c r="F18" i="5"/>
  <c r="E18" i="5"/>
  <c r="H18" i="5"/>
  <c r="I18" i="5"/>
  <c r="G18" i="5"/>
  <c r="J18" i="5"/>
  <c r="F90" i="5"/>
  <c r="G90" i="5"/>
  <c r="J90" i="5"/>
  <c r="E90" i="5"/>
  <c r="I90" i="5"/>
  <c r="H90" i="5"/>
  <c r="H30" i="5"/>
  <c r="G30" i="5"/>
  <c r="F30" i="5"/>
  <c r="E30" i="5"/>
  <c r="I30" i="5"/>
  <c r="J30" i="5"/>
  <c r="J168" i="5"/>
  <c r="I168" i="5"/>
  <c r="E168" i="5"/>
  <c r="H168" i="5"/>
  <c r="G168" i="5"/>
  <c r="F168" i="5"/>
  <c r="G60" i="5"/>
  <c r="F60" i="5"/>
  <c r="E60" i="5"/>
  <c r="I60" i="5"/>
  <c r="H60" i="5"/>
  <c r="J60" i="5"/>
  <c r="J186" i="5"/>
  <c r="E186" i="5"/>
  <c r="I186" i="5"/>
  <c r="H186" i="5"/>
  <c r="G186" i="5"/>
  <c r="F186" i="5"/>
  <c r="F162" i="5"/>
  <c r="J162" i="5"/>
  <c r="I162" i="5"/>
  <c r="H162" i="5"/>
  <c r="E162" i="5"/>
  <c r="G162" i="5"/>
  <c r="G96" i="5"/>
  <c r="J96" i="5"/>
  <c r="I96" i="5"/>
  <c r="E96" i="5"/>
  <c r="H96" i="5"/>
  <c r="F96" i="5"/>
  <c r="G132" i="5"/>
  <c r="F132" i="5"/>
  <c r="I132" i="5"/>
  <c r="J132" i="5"/>
  <c r="E132" i="5"/>
  <c r="H132" i="5"/>
  <c r="F126" i="5"/>
  <c r="J126" i="5"/>
  <c r="I126" i="5"/>
  <c r="H126" i="5"/>
  <c r="E126" i="5"/>
  <c r="G126" i="5"/>
  <c r="I72" i="5"/>
  <c r="H72" i="5"/>
  <c r="G72" i="5"/>
  <c r="F72" i="5"/>
  <c r="E72" i="5"/>
  <c r="J72" i="5"/>
  <c r="I78" i="5"/>
  <c r="F78" i="5"/>
  <c r="G78" i="5"/>
  <c r="J78" i="5"/>
  <c r="E78" i="5"/>
  <c r="H78" i="5"/>
  <c r="J54" i="5"/>
  <c r="I54" i="5"/>
  <c r="H54" i="5"/>
  <c r="F54" i="5"/>
  <c r="G54" i="5"/>
  <c r="E54" i="5"/>
  <c r="F24" i="5"/>
  <c r="J24" i="5"/>
  <c r="I24" i="5"/>
  <c r="E24" i="5"/>
  <c r="G24" i="5"/>
  <c r="H24" i="5"/>
  <c r="I36" i="5"/>
  <c r="F36" i="5"/>
  <c r="E36" i="5"/>
  <c r="J36" i="5"/>
  <c r="H36" i="5"/>
  <c r="G3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5C7A5C-2CAA-45FA-8F98-F5F1E1C539AD}" keepAlive="1" name="Query - ogd-smn_meta_parameters" description="Connection to the 'ogd-smn_meta_parameters' query in the workbook." type="5" refreshedVersion="8" background="1" saveData="1">
    <dbPr connection="Provider=Microsoft.Mashup.OleDb.1;Data Source=$Workbook$;Location=ogd-smn_meta_parameters;Extended Properties=&quot;&quot;" command="SELECT * FROM [ogd-smn_meta_parameters]"/>
  </connection>
  <connection id="2" xr16:uid="{D916076A-4276-4E82-A540-34A578BD24C1}" keepAlive="1" name="Query - ogd-smn_meta_stations" description="Connection to the 'ogd-smn_meta_stations' query in the workbook." type="5" refreshedVersion="8" background="1" saveData="1">
    <dbPr connection="Provider=Microsoft.Mashup.OleDb.1;Data Source=$Workbook$;Location=ogd-smn_meta_stations;Extended Properties=&quot;&quot;" command="SELECT * FROM [ogd-smn_meta_stations]"/>
  </connection>
  <connection id="3" xr16:uid="{E659615E-0ACE-468A-9DBC-2A68778F4EE3}" keepAlive="1" name="Query - ogd-smn-tower_meta_stations" description="Connection to the 'ogd-smn-tower_meta_stations' query in the workbook." type="5" refreshedVersion="8" background="1" saveData="1">
    <dbPr connection="Provider=Microsoft.Mashup.OleDb.1;Data Source=$Workbook$;Location=ogd-smn-tower_meta_stations;Extended Properties=&quot;&quot;" command="SELECT * FROM [ogd-smn-tower_meta_station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<sst xmlns="http://schemas.openxmlformats.org/spreadsheetml/2006/main" count="5189" uniqueCount="2258">
  <si>
    <t>station_abbr</t>
  </si>
  <si>
    <t>station_name</t>
  </si>
  <si>
    <t>station_canton</t>
  </si>
  <si>
    <t>station_wigos_id</t>
  </si>
  <si>
    <t>station_type_de</t>
  </si>
  <si>
    <t>station_type_fr</t>
  </si>
  <si>
    <t>station_type_it</t>
  </si>
  <si>
    <t>station_type_en</t>
  </si>
  <si>
    <t>station_dataowner</t>
  </si>
  <si>
    <t>station_data_since</t>
  </si>
  <si>
    <t>station_height_masl</t>
  </si>
  <si>
    <t>station_height_barometer_masl</t>
  </si>
  <si>
    <t>station_coordinates_lv95_east</t>
  </si>
  <si>
    <t>station_coordinates_lv95_north</t>
  </si>
  <si>
    <t>station_coordinates_wgs84_lat</t>
  </si>
  <si>
    <t>station_coordinates_wgs84_lon</t>
  </si>
  <si>
    <t>station_exposition_de</t>
  </si>
  <si>
    <t>station_exposition_fr</t>
  </si>
  <si>
    <t>station_exposition_it</t>
  </si>
  <si>
    <t>station_exposition_en</t>
  </si>
  <si>
    <t>station_url_de</t>
  </si>
  <si>
    <t>station_url_fr</t>
  </si>
  <si>
    <t>station_url_it</t>
  </si>
  <si>
    <t>station_url_en</t>
  </si>
  <si>
    <t>ABO</t>
  </si>
  <si>
    <t>Adelboden</t>
  </si>
  <si>
    <t>BE</t>
  </si>
  <si>
    <t>0-20000-0-06735</t>
  </si>
  <si>
    <t>Automatische Wetterstationen</t>
  </si>
  <si>
    <t>Stations météorologiques automatiques</t>
  </si>
  <si>
    <t>Stazioni meteorologiche automatiche</t>
  </si>
  <si>
    <t>Automatic weather stations</t>
  </si>
  <si>
    <t>MeteoSchweiz, SLF</t>
  </si>
  <si>
    <t>01.01.1901</t>
  </si>
  <si>
    <t>Südosthang</t>
  </si>
  <si>
    <t>Versant sud-est</t>
  </si>
  <si>
    <t>Versante sud-orientale</t>
  </si>
  <si>
    <t>south-eastern oriented slope</t>
  </si>
  <si>
    <t>https://www.meteoschweiz.admin.ch/service-und-publikationen/applikationen/messwerte-und-messnetze.html#param=messnetz-automatisch&amp;station=ABO</t>
  </si>
  <si>
    <t>https://www.meteosuisse.admin.ch/services-et-publications/applications/valeurs-mesurees-et-reseaux-de-mesure.html#param=messnetz-automatisch&amp;station=ABO</t>
  </si>
  <si>
    <t>https://www.meteosvizzera.admin.ch/servizi-e-pubblicazioni/applicazioni/valori-attuali-e-reti-di-misura.html#param=messnetz-automatisch&amp;station=ABO</t>
  </si>
  <si>
    <t>https://www.meteoswiss.admin.ch/services-and-publications/applications/measurement-values-and-measuring-networks.html#param=messnetz-automatisch&amp;station=ABO</t>
  </si>
  <si>
    <t>AEG</t>
  </si>
  <si>
    <t>Oberägeri</t>
  </si>
  <si>
    <t>ZG</t>
  </si>
  <si>
    <t>0-20000-0-06676</t>
  </si>
  <si>
    <t>MeteoSchweiz</t>
  </si>
  <si>
    <t>01.02.1993</t>
  </si>
  <si>
    <t>Ebene</t>
  </si>
  <si>
    <t>Plaine</t>
  </si>
  <si>
    <t>Pianura</t>
  </si>
  <si>
    <t>plain</t>
  </si>
  <si>
    <t>https://www.meteoschweiz.admin.ch/service-und-publikationen/applikationen/messwerte-und-messnetze.html#param=messnetz-automatisch&amp;station=AEG</t>
  </si>
  <si>
    <t>https://www.meteosuisse.admin.ch/services-et-publications/applications/valeurs-mesurees-et-reseaux-de-mesure.html#param=messnetz-automatisch&amp;station=AEG</t>
  </si>
  <si>
    <t>https://www.meteosvizzera.admin.ch/servizi-e-pubblicazioni/applicazioni/valori-attuali-e-reti-di-misura.html#param=messnetz-automatisch&amp;station=AEG</t>
  </si>
  <si>
    <t>https://www.meteoswiss.admin.ch/services-and-publications/applications/measurement-values-and-measuring-networks.html#param=messnetz-automatisch&amp;station=AEG</t>
  </si>
  <si>
    <t>AIG</t>
  </si>
  <si>
    <t>Aigle</t>
  </si>
  <si>
    <t>VD</t>
  </si>
  <si>
    <t>0-20000-0-06712</t>
  </si>
  <si>
    <t>01.01.1961</t>
  </si>
  <si>
    <t>https://www.meteoschweiz.admin.ch/service-und-publikationen/applikationen/messwerte-und-messnetze.html#param=messnetz-automatisch&amp;station=AIG</t>
  </si>
  <si>
    <t>https://www.meteosuisse.admin.ch/services-et-publications/applications/valeurs-mesurees-et-reseaux-de-mesure.html#param=messnetz-automatisch&amp;station=AIG</t>
  </si>
  <si>
    <t>https://www.meteosvizzera.admin.ch/servizi-e-pubblicazioni/applicazioni/valori-attuali-e-reti-di-misura.html#param=messnetz-automatisch&amp;station=AIG</t>
  </si>
  <si>
    <t>https://www.meteoswiss.admin.ch/services-and-publications/applications/measurement-values-and-measuring-networks.html#param=messnetz-automatisch&amp;station=AIG</t>
  </si>
  <si>
    <t>ALT</t>
  </si>
  <si>
    <t>Altdorf</t>
  </si>
  <si>
    <t>UR</t>
  </si>
  <si>
    <t>0-20000-0-06672</t>
  </si>
  <si>
    <t>01.01.1864</t>
  </si>
  <si>
    <t>https://www.meteoschweiz.admin.ch/service-und-publikationen/applikationen/messwerte-und-messnetze.html#param=messnetz-automatisch&amp;station=ALT</t>
  </si>
  <si>
    <t>https://www.meteosuisse.admin.ch/services-et-publications/applications/valeurs-mesurees-et-reseaux-de-mesure.html#param=messnetz-automatisch&amp;station=ALT</t>
  </si>
  <si>
    <t>https://www.meteosvizzera.admin.ch/servizi-e-pubblicazioni/applicazioni/valori-attuali-e-reti-di-misura.html#param=messnetz-automatisch&amp;station=ALT</t>
  </si>
  <si>
    <t>https://www.meteoswiss.admin.ch/services-and-publications/applications/measurement-values-and-measuring-networks.html#param=messnetz-automatisch&amp;station=ALT</t>
  </si>
  <si>
    <t>AND</t>
  </si>
  <si>
    <t>Andeer</t>
  </si>
  <si>
    <t>GR</t>
  </si>
  <si>
    <t>0-20000-0-06787</t>
  </si>
  <si>
    <t>https://www.meteoschweiz.admin.ch/service-und-publikationen/applikationen/messwerte-und-messnetze.html#param=messnetz-automatisch&amp;station=AND</t>
  </si>
  <si>
    <t>https://www.meteosuisse.admin.ch/services-et-publications/applications/valeurs-mesurees-et-reseaux-de-mesure.html#param=messnetz-automatisch&amp;station=AND</t>
  </si>
  <si>
    <t>https://www.meteosvizzera.admin.ch/servizi-e-pubblicazioni/applicazioni/valori-attuali-e-reti-di-misura.html#param=messnetz-automatisch&amp;station=AND</t>
  </si>
  <si>
    <t>https://www.meteoswiss.admin.ch/services-and-publications/applications/measurement-values-and-measuring-networks.html#param=messnetz-automatisch&amp;station=AND</t>
  </si>
  <si>
    <t>ANT</t>
  </si>
  <si>
    <t>Andermatt</t>
  </si>
  <si>
    <t>0-20000-0-06695</t>
  </si>
  <si>
    <t>Muldenlage</t>
  </si>
  <si>
    <t>Dépression</t>
  </si>
  <si>
    <t>Depressione</t>
  </si>
  <si>
    <t>basin</t>
  </si>
  <si>
    <t>https://www.meteoschweiz.admin.ch/service-und-publikationen/applikationen/messwerte-und-messnetze.html#param=messnetz-automatisch&amp;station=ANT</t>
  </si>
  <si>
    <t>https://www.meteosuisse.admin.ch/services-et-publications/applications/valeurs-mesurees-et-reseaux-de-mesure.html#param=messnetz-automatisch&amp;station=ANT</t>
  </si>
  <si>
    <t>https://www.meteosvizzera.admin.ch/servizi-e-pubblicazioni/applicazioni/valori-attuali-e-reti-di-misura.html#param=messnetz-automatisch&amp;station=ANT</t>
  </si>
  <si>
    <t>https://www.meteoswiss.admin.ch/services-and-publications/applications/measurement-values-and-measuring-networks.html#param=messnetz-automatisch&amp;station=ANT</t>
  </si>
  <si>
    <t>ARH</t>
  </si>
  <si>
    <t>Altenrhein</t>
  </si>
  <si>
    <t>SG</t>
  </si>
  <si>
    <t>0-20000-0-06690</t>
  </si>
  <si>
    <t>15.01.1993</t>
  </si>
  <si>
    <t>https://www.meteoschweiz.admin.ch/service-und-publikationen/applikationen/messwerte-und-messnetze.html#param=messnetz-automatisch&amp;station=ARH</t>
  </si>
  <si>
    <t>https://www.meteosuisse.admin.ch/services-et-publications/applications/valeurs-mesurees-et-reseaux-de-mesure.html#param=messnetz-automatisch&amp;station=ARH</t>
  </si>
  <si>
    <t>https://www.meteosvizzera.admin.ch/servizi-e-pubblicazioni/applicazioni/valori-attuali-e-reti-di-misura.html#param=messnetz-automatisch&amp;station=ARH</t>
  </si>
  <si>
    <t>https://www.meteoswiss.admin.ch/services-and-publications/applications/measurement-values-and-measuring-networks.html#param=messnetz-automatisch&amp;station=ARH</t>
  </si>
  <si>
    <t>ARO</t>
  </si>
  <si>
    <t>Arosa</t>
  </si>
  <si>
    <t>0-20000-0-06785</t>
  </si>
  <si>
    <t>01.01.1890</t>
  </si>
  <si>
    <t>https://www.meteoschweiz.admin.ch/service-und-publikationen/applikationen/messwerte-und-messnetze.html#param=messnetz-automatisch&amp;station=ARO</t>
  </si>
  <si>
    <t>https://www.meteosuisse.admin.ch/services-et-publications/applications/valeurs-mesurees-et-reseaux-de-mesure.html#param=messnetz-automatisch&amp;station=ARO</t>
  </si>
  <si>
    <t>https://www.meteosvizzera.admin.ch/servizi-e-pubblicazioni/applicazioni/valori-attuali-e-reti-di-misura.html#param=messnetz-automatisch&amp;station=ARO</t>
  </si>
  <si>
    <t>https://www.meteoswiss.admin.ch/services-and-publications/applications/measurement-values-and-measuring-networks.html#param=messnetz-automatisch&amp;station=ARO</t>
  </si>
  <si>
    <t>ATT</t>
  </si>
  <si>
    <t>Les Attelas</t>
  </si>
  <si>
    <t>VS</t>
  </si>
  <si>
    <t>0-20000-0-06723</t>
  </si>
  <si>
    <t>10.08.1993</t>
  </si>
  <si>
    <t>Gipfellage</t>
  </si>
  <si>
    <t>Sommet</t>
  </si>
  <si>
    <t>Vetta</t>
  </si>
  <si>
    <t>crest</t>
  </si>
  <si>
    <t>https://www.meteoschweiz.admin.ch/service-und-publikationen/applikationen/messwerte-und-messnetze.html#param=messnetz-automatisch&amp;station=ATT</t>
  </si>
  <si>
    <t>https://www.meteosuisse.admin.ch/services-et-publications/applications/valeurs-mesurees-et-reseaux-de-mesure.html#param=messnetz-automatisch&amp;station=ATT</t>
  </si>
  <si>
    <t>https://www.meteosvizzera.admin.ch/servizi-e-pubblicazioni/applicazioni/valori-attuali-e-reti-di-misura.html#param=messnetz-automatisch&amp;station=ATT</t>
  </si>
  <si>
    <t>https://www.meteoswiss.admin.ch/services-and-publications/applications/measurement-values-and-measuring-networks.html#param=messnetz-automatisch&amp;station=ATT</t>
  </si>
  <si>
    <t>BAN</t>
  </si>
  <si>
    <t>Bantiger</t>
  </si>
  <si>
    <t>0-20000-0-06634</t>
  </si>
  <si>
    <t>16.12.1992</t>
  </si>
  <si>
    <t>https://www.meteoschweiz.admin.ch/service-und-publikationen/applikationen/messwerte-und-messnetze.html#param=messnetz-automatisch&amp;station=BAN</t>
  </si>
  <si>
    <t>https://www.meteosuisse.admin.ch/services-et-publications/applications/valeurs-mesurees-et-reseaux-de-mesure.html#param=messnetz-automatisch&amp;station=BAN</t>
  </si>
  <si>
    <t>https://www.meteosvizzera.admin.ch/servizi-e-pubblicazioni/applicazioni/valori-attuali-e-reti-di-misura.html#param=messnetz-automatisch&amp;station=BAN</t>
  </si>
  <si>
    <t>https://www.meteoswiss.admin.ch/services-and-publications/applications/measurement-values-and-measuring-networks.html#param=messnetz-automatisch&amp;station=BAN</t>
  </si>
  <si>
    <t>BAS</t>
  </si>
  <si>
    <t>Basel / Binningen</t>
  </si>
  <si>
    <t>BL</t>
  </si>
  <si>
    <t>0-20000-0-06601</t>
  </si>
  <si>
    <t>01.01.1755</t>
  </si>
  <si>
    <t>Anhöhe (30 - 100 m über Talsohle)</t>
  </si>
  <si>
    <t>Butte (30-100 m au-dessus du fond de vallée)</t>
  </si>
  <si>
    <t>Collina (30 - 100 m sopra il fondovalle)</t>
  </si>
  <si>
    <t>height (30-100 m above valley)</t>
  </si>
  <si>
    <t>https://www.meteoschweiz.admin.ch/service-und-publikationen/applikationen/messwerte-und-messnetze.html#param=messnetz-automatisch&amp;station=BAS</t>
  </si>
  <si>
    <t>https://www.meteosuisse.admin.ch/services-et-publications/applications/valeurs-mesurees-et-reseaux-de-mesure.html#param=messnetz-automatisch&amp;station=BAS</t>
  </si>
  <si>
    <t>https://www.meteosvizzera.admin.ch/servizi-e-pubblicazioni/applicazioni/valori-attuali-e-reti-di-misura.html#param=messnetz-automatisch&amp;station=BAS</t>
  </si>
  <si>
    <t>https://www.meteoswiss.admin.ch/services-and-publications/applications/measurement-values-and-measuring-networks.html#param=messnetz-automatisch&amp;station=BAS</t>
  </si>
  <si>
    <t>BEH</t>
  </si>
  <si>
    <t>Passo del Bernina</t>
  </si>
  <si>
    <t>0-20000-0-06797</t>
  </si>
  <si>
    <t>01.11.1908</t>
  </si>
  <si>
    <t>Passlage</t>
  </si>
  <si>
    <t>Col</t>
  </si>
  <si>
    <t>Passo</t>
  </si>
  <si>
    <t>pass</t>
  </si>
  <si>
    <t>https://www.meteoschweiz.admin.ch/service-und-publikationen/applikationen/messwerte-und-messnetze.html#param=messnetz-automatisch&amp;station=BEH</t>
  </si>
  <si>
    <t>https://www.meteosuisse.admin.ch/services-et-publications/applications/valeurs-mesurees-et-reseaux-de-mesure.html#param=messnetz-automatisch&amp;station=BEH</t>
  </si>
  <si>
    <t>https://www.meteosvizzera.admin.ch/servizi-e-pubblicazioni/applicazioni/valori-attuali-e-reti-di-misura.html#param=messnetz-automatisch&amp;station=BEH</t>
  </si>
  <si>
    <t>https://www.meteoswiss.admin.ch/services-and-publications/applications/measurement-values-and-measuring-networks.html#param=messnetz-automatisch&amp;station=BEH</t>
  </si>
  <si>
    <t>BER</t>
  </si>
  <si>
    <t>Bern / Zollikofen</t>
  </si>
  <si>
    <t>0-20000-0-06631</t>
  </si>
  <si>
    <t>https://www.meteoschweiz.admin.ch/service-und-publikationen/applikationen/messwerte-und-messnetze.html#param=messnetz-automatisch&amp;station=BER</t>
  </si>
  <si>
    <t>https://www.meteosuisse.admin.ch/services-et-publications/applications/valeurs-mesurees-et-reseaux-de-mesure.html#param=messnetz-automatisch&amp;station=BER</t>
  </si>
  <si>
    <t>https://www.meteosvizzera.admin.ch/servizi-e-pubblicazioni/applicazioni/valori-attuali-e-reti-di-misura.html#param=messnetz-automatisch&amp;station=BER</t>
  </si>
  <si>
    <t>https://www.meteoswiss.admin.ch/services-and-publications/applications/measurement-values-and-measuring-networks.html#param=messnetz-automatisch&amp;station=BER</t>
  </si>
  <si>
    <t>BEZ</t>
  </si>
  <si>
    <t>Beznau</t>
  </si>
  <si>
    <t>AG</t>
  </si>
  <si>
    <t>0-20000-0-06646</t>
  </si>
  <si>
    <t>01.01.1959</t>
  </si>
  <si>
    <t>https://www.meteoschweiz.admin.ch/service-und-publikationen/applikationen/messwerte-und-messnetze.html#param=messnetz-automatisch&amp;station=BEZ</t>
  </si>
  <si>
    <t>https://www.meteosuisse.admin.ch/services-et-publications/applications/valeurs-mesurees-et-reseaux-de-mesure.html#param=messnetz-automatisch&amp;station=BEZ</t>
  </si>
  <si>
    <t>https://www.meteosvizzera.admin.ch/servizi-e-pubblicazioni/applicazioni/valori-attuali-e-reti-di-misura.html#param=messnetz-automatisch&amp;station=BEZ</t>
  </si>
  <si>
    <t>https://www.meteoswiss.admin.ch/services-and-publications/applications/measurement-values-and-measuring-networks.html#param=messnetz-automatisch&amp;station=BEZ</t>
  </si>
  <si>
    <t>BIA</t>
  </si>
  <si>
    <t>Biasca</t>
  </si>
  <si>
    <t>TI</t>
  </si>
  <si>
    <t>0-756-0-BIA</t>
  </si>
  <si>
    <t>01.01.1900</t>
  </si>
  <si>
    <t>https://www.meteoschweiz.admin.ch/service-und-publikationen/applikationen/messwerte-und-messnetze.html#param=messnetz-automatisch&amp;station=BIA</t>
  </si>
  <si>
    <t>https://www.meteosuisse.admin.ch/services-et-publications/applications/valeurs-mesurees-et-reseaux-de-mesure.html#param=messnetz-automatisch&amp;station=BIA</t>
  </si>
  <si>
    <t>https://www.meteosvizzera.admin.ch/servizi-e-pubblicazioni/applicazioni/valori-attuali-e-reti-di-misura.html#param=messnetz-automatisch&amp;station=BIA</t>
  </si>
  <si>
    <t>https://www.meteoswiss.admin.ch/services-and-publications/applications/measurement-values-and-measuring-networks.html#param=messnetz-automatisch&amp;station=BIA</t>
  </si>
  <si>
    <t>BIE</t>
  </si>
  <si>
    <t>Bière</t>
  </si>
  <si>
    <t>0-20000-0-06704</t>
  </si>
  <si>
    <t>01.05.1974</t>
  </si>
  <si>
    <t>https://www.meteoschweiz.admin.ch/service-und-publikationen/applikationen/messwerte-und-messnetze.html#param=messnetz-automatisch&amp;station=BIE</t>
  </si>
  <si>
    <t>https://www.meteosuisse.admin.ch/services-et-publications/applications/valeurs-mesurees-et-reseaux-de-mesure.html#param=messnetz-automatisch&amp;station=BIE</t>
  </si>
  <si>
    <t>https://www.meteosvizzera.admin.ch/servizi-e-pubblicazioni/applicazioni/valori-attuali-e-reti-di-misura.html#param=messnetz-automatisch&amp;station=BIE</t>
  </si>
  <si>
    <t>https://www.meteoswiss.admin.ch/services-and-publications/applications/measurement-values-and-measuring-networks.html#param=messnetz-automatisch&amp;station=BIE</t>
  </si>
  <si>
    <t>BIN</t>
  </si>
  <si>
    <t>Binn</t>
  </si>
  <si>
    <t>0-20000-0-06721</t>
  </si>
  <si>
    <t>01.08.1899</t>
  </si>
  <si>
    <t>Tal</t>
  </si>
  <si>
    <t>Vallée</t>
  </si>
  <si>
    <t>Valle</t>
  </si>
  <si>
    <t>valley</t>
  </si>
  <si>
    <t>https://www.meteoschweiz.admin.ch/service-und-publikationen/applikationen/messwerte-und-messnetze.html#param=messnetz-automatisch&amp;station=BIN</t>
  </si>
  <si>
    <t>https://www.meteosuisse.admin.ch/services-et-publications/applications/valeurs-mesurees-et-reseaux-de-mesure.html#param=messnetz-automatisch&amp;station=BIN</t>
  </si>
  <si>
    <t>https://www.meteosvizzera.admin.ch/servizi-e-pubblicazioni/applicazioni/valori-attuali-e-reti-di-misura.html#param=messnetz-automatisch&amp;station=BIN</t>
  </si>
  <si>
    <t>https://www.meteoswiss.admin.ch/services-and-publications/applications/measurement-values-and-measuring-networks.html#param=messnetz-automatisch&amp;station=BIN</t>
  </si>
  <si>
    <t>BIV</t>
  </si>
  <si>
    <t>Bivio</t>
  </si>
  <si>
    <t>0-20000-0-06774</t>
  </si>
  <si>
    <t>01.01.1892</t>
  </si>
  <si>
    <t>Südhang</t>
  </si>
  <si>
    <t>Versant sud</t>
  </si>
  <si>
    <t>Versante meridionale</t>
  </si>
  <si>
    <t>southern oriented slope</t>
  </si>
  <si>
    <t>https://www.meteoschweiz.admin.ch/service-und-publikationen/applikationen/messwerte-und-messnetze.html#param=messnetz-automatisch&amp;station=BIV</t>
  </si>
  <si>
    <t>https://www.meteosuisse.admin.ch/services-et-publications/applications/valeurs-mesurees-et-reseaux-de-mesure.html#param=messnetz-automatisch&amp;station=BIV</t>
  </si>
  <si>
    <t>https://www.meteosvizzera.admin.ch/servizi-e-pubblicazioni/applicazioni/valori-attuali-e-reti-di-misura.html#param=messnetz-automatisch&amp;station=BIV</t>
  </si>
  <si>
    <t>https://www.meteoswiss.admin.ch/services-and-publications/applications/measurement-values-and-measuring-networks.html#param=messnetz-automatisch&amp;station=BIV</t>
  </si>
  <si>
    <t>BIZ</t>
  </si>
  <si>
    <t>Bischofszell / Sitterdorf</t>
  </si>
  <si>
    <t>TG</t>
  </si>
  <si>
    <t>0-20000-0-06678</t>
  </si>
  <si>
    <t>https://www.meteoschweiz.admin.ch/service-und-publikationen/applikationen/messwerte-und-messnetze.html#param=messnetz-automatisch&amp;station=BIZ</t>
  </si>
  <si>
    <t>https://www.meteosuisse.admin.ch/services-et-publications/applications/valeurs-mesurees-et-reseaux-de-mesure.html#param=messnetz-automatisch&amp;station=BIZ</t>
  </si>
  <si>
    <t>https://www.meteosvizzera.admin.ch/servizi-e-pubblicazioni/applicazioni/valori-attuali-e-reti-di-misura.html#param=messnetz-automatisch&amp;station=BIZ</t>
  </si>
  <si>
    <t>https://www.meteoswiss.admin.ch/services-and-publications/applications/measurement-values-and-measuring-networks.html#param=messnetz-automatisch&amp;station=BIZ</t>
  </si>
  <si>
    <t>BLA</t>
  </si>
  <si>
    <t>Blatten, Lötschental</t>
  </si>
  <si>
    <t>0-20000-0-06725</t>
  </si>
  <si>
    <t>https://www.meteoschweiz.admin.ch/service-und-publikationen/applikationen/messwerte-und-messnetze.html#param=messnetz-automatisch&amp;station=BLA</t>
  </si>
  <si>
    <t>https://www.meteosuisse.admin.ch/services-et-publications/applications/valeurs-mesurees-et-reseaux-de-mesure.html#param=messnetz-automatisch&amp;station=BLA</t>
  </si>
  <si>
    <t>https://www.meteosvizzera.admin.ch/servizi-e-pubblicazioni/applicazioni/valori-attuali-e-reti-di-misura.html#param=messnetz-automatisch&amp;station=BLA</t>
  </si>
  <si>
    <t>https://www.meteoswiss.admin.ch/services-and-publications/applications/measurement-values-and-measuring-networks.html#param=messnetz-automatisch&amp;station=BLA</t>
  </si>
  <si>
    <t>BOL</t>
  </si>
  <si>
    <t>Boltigen</t>
  </si>
  <si>
    <t>0-20000-0-06733</t>
  </si>
  <si>
    <t>https://www.meteoschweiz.admin.ch/service-und-publikationen/applikationen/messwerte-und-messnetze.html#param=messnetz-automatisch&amp;station=BOL</t>
  </si>
  <si>
    <t>https://www.meteosuisse.admin.ch/services-et-publications/applications/valeurs-mesurees-et-reseaux-de-mesure.html#param=messnetz-automatisch&amp;station=BOL</t>
  </si>
  <si>
    <t>https://www.meteosvizzera.admin.ch/servizi-e-pubblicazioni/applicazioni/valori-attuali-e-reti-di-misura.html#param=messnetz-automatisch&amp;station=BOL</t>
  </si>
  <si>
    <t>https://www.meteoswiss.admin.ch/services-and-publications/applications/measurement-values-and-measuring-networks.html#param=messnetz-automatisch&amp;station=BOL</t>
  </si>
  <si>
    <t>BOU</t>
  </si>
  <si>
    <t>Bouveret</t>
  </si>
  <si>
    <t>0-20000-0-06709</t>
  </si>
  <si>
    <t>14.09.1993</t>
  </si>
  <si>
    <t>https://www.meteoschweiz.admin.ch/service-und-publikationen/applikationen/messwerte-und-messnetze.html#param=messnetz-automatisch&amp;station=BOU</t>
  </si>
  <si>
    <t>https://www.meteosuisse.admin.ch/services-et-publications/applications/valeurs-mesurees-et-reseaux-de-mesure.html#param=messnetz-automatisch&amp;station=BOU</t>
  </si>
  <si>
    <t>https://www.meteosvizzera.admin.ch/servizi-e-pubblicazioni/applicazioni/valori-attuali-e-reti-di-misura.html#param=messnetz-automatisch&amp;station=BOU</t>
  </si>
  <si>
    <t>https://www.meteoswiss.admin.ch/services-and-publications/applications/measurement-values-and-measuring-networks.html#param=messnetz-automatisch&amp;station=BOU</t>
  </si>
  <si>
    <t>BRL</t>
  </si>
  <si>
    <t>La Brévine</t>
  </si>
  <si>
    <t>NE</t>
  </si>
  <si>
    <t>0-20000-0-06617</t>
  </si>
  <si>
    <t>https://www.meteoschweiz.admin.ch/service-und-publikationen/applikationen/messwerte-und-messnetze.html#param=messnetz-automatisch&amp;station=BRL</t>
  </si>
  <si>
    <t>https://www.meteosuisse.admin.ch/services-et-publications/applications/valeurs-mesurees-et-reseaux-de-mesure.html#param=messnetz-automatisch&amp;station=BRL</t>
  </si>
  <si>
    <t>https://www.meteosvizzera.admin.ch/servizi-e-pubblicazioni/applicazioni/valori-attuali-e-reti-di-misura.html#param=messnetz-automatisch&amp;station=BRL</t>
  </si>
  <si>
    <t>https://www.meteoswiss.admin.ch/services-and-publications/applications/measurement-values-and-measuring-networks.html#param=messnetz-automatisch&amp;station=BRL</t>
  </si>
  <si>
    <t>BRZ</t>
  </si>
  <si>
    <t>Brienz</t>
  </si>
  <si>
    <t>0-20000-0-06656</t>
  </si>
  <si>
    <t>https://www.meteoschweiz.admin.ch/service-und-publikationen/applikationen/messwerte-und-messnetze.html#param=messnetz-automatisch&amp;station=BRZ</t>
  </si>
  <si>
    <t>https://www.meteosuisse.admin.ch/services-et-publications/applications/valeurs-mesurees-et-reseaux-de-mesure.html#param=messnetz-automatisch&amp;station=BRZ</t>
  </si>
  <si>
    <t>https://www.meteosvizzera.admin.ch/servizi-e-pubblicazioni/applicazioni/valori-attuali-e-reti-di-misura.html#param=messnetz-automatisch&amp;station=BRZ</t>
  </si>
  <si>
    <t>https://www.meteoswiss.admin.ch/services-and-publications/applications/measurement-values-and-measuring-networks.html#param=messnetz-automatisch&amp;station=BRZ</t>
  </si>
  <si>
    <t>BUF</t>
  </si>
  <si>
    <t>Buffalora</t>
  </si>
  <si>
    <t>0-20000-0-06778</t>
  </si>
  <si>
    <t>01.01.1917</t>
  </si>
  <si>
    <t>https://www.meteoschweiz.admin.ch/service-und-publikationen/applikationen/messwerte-und-messnetze.html#param=messnetz-automatisch&amp;station=BUF</t>
  </si>
  <si>
    <t>https://www.meteosuisse.admin.ch/services-et-publications/applications/valeurs-mesurees-et-reseaux-de-mesure.html#param=messnetz-automatisch&amp;station=BUF</t>
  </si>
  <si>
    <t>https://www.meteosvizzera.admin.ch/servizi-e-pubblicazioni/applicazioni/valori-attuali-e-reti-di-misura.html#param=messnetz-automatisch&amp;station=BUF</t>
  </si>
  <si>
    <t>https://www.meteoswiss.admin.ch/services-and-publications/applications/measurement-values-and-measuring-networks.html#param=messnetz-automatisch&amp;station=BUF</t>
  </si>
  <si>
    <t>BUS</t>
  </si>
  <si>
    <t>Buchs / Aarau</t>
  </si>
  <si>
    <t>0-20000-0-06633</t>
  </si>
  <si>
    <t>https://www.meteoschweiz.admin.ch/service-und-publikationen/applikationen/messwerte-und-messnetze.html#param=messnetz-automatisch&amp;station=BUS</t>
  </si>
  <si>
    <t>https://www.meteosuisse.admin.ch/services-et-publications/applications/valeurs-mesurees-et-reseaux-de-mesure.html#param=messnetz-automatisch&amp;station=BUS</t>
  </si>
  <si>
    <t>https://www.meteosvizzera.admin.ch/servizi-e-pubblicazioni/applicazioni/valori-attuali-e-reti-di-misura.html#param=messnetz-automatisch&amp;station=BUS</t>
  </si>
  <si>
    <t>https://www.meteoswiss.admin.ch/services-and-publications/applications/measurement-values-and-measuring-networks.html#param=messnetz-automatisch&amp;station=BUS</t>
  </si>
  <si>
    <t>CDF</t>
  </si>
  <si>
    <t>La Chaux-de-Fonds</t>
  </si>
  <si>
    <t>0-20000-0-06612</t>
  </si>
  <si>
    <t>https://www.meteoschweiz.admin.ch/service-und-publikationen/applikationen/messwerte-und-messnetze.html#param=messnetz-automatisch&amp;station=CDF</t>
  </si>
  <si>
    <t>https://www.meteosuisse.admin.ch/services-et-publications/applications/valeurs-mesurees-et-reseaux-de-mesure.html#param=messnetz-automatisch&amp;station=CDF</t>
  </si>
  <si>
    <t>https://www.meteosvizzera.admin.ch/servizi-e-pubblicazioni/applicazioni/valori-attuali-e-reti-di-misura.html#param=messnetz-automatisch&amp;station=CDF</t>
  </si>
  <si>
    <t>https://www.meteoswiss.admin.ch/services-and-publications/applications/measurement-values-and-measuring-networks.html#param=messnetz-automatisch&amp;station=CDF</t>
  </si>
  <si>
    <t>CDM</t>
  </si>
  <si>
    <t>Col des Mosses</t>
  </si>
  <si>
    <t>0-20000-0-06713</t>
  </si>
  <si>
    <t>01.01.1972</t>
  </si>
  <si>
    <t>https://www.meteoschweiz.admin.ch/service-und-publikationen/applikationen/messwerte-und-messnetze.html#param=messnetz-automatisch&amp;station=CDM</t>
  </si>
  <si>
    <t>https://www.meteosuisse.admin.ch/services-et-publications/applications/valeurs-mesurees-et-reseaux-de-mesure.html#param=messnetz-automatisch&amp;station=CDM</t>
  </si>
  <si>
    <t>https://www.meteosvizzera.admin.ch/servizi-e-pubblicazioni/applicazioni/valori-attuali-e-reti-di-misura.html#param=messnetz-automatisch&amp;station=CDM</t>
  </si>
  <si>
    <t>https://www.meteoswiss.admin.ch/services-and-publications/applications/measurement-values-and-measuring-networks.html#param=messnetz-automatisch&amp;station=CDM</t>
  </si>
  <si>
    <t>CEV</t>
  </si>
  <si>
    <t>Cevio</t>
  </si>
  <si>
    <t>0-20000-0-06752</t>
  </si>
  <si>
    <t>https://www.meteoschweiz.admin.ch/service-und-publikationen/applikationen/messwerte-und-messnetze.html#param=messnetz-automatisch&amp;station=CEV</t>
  </si>
  <si>
    <t>https://www.meteosuisse.admin.ch/services-et-publications/applications/valeurs-mesurees-et-reseaux-de-mesure.html#param=messnetz-automatisch&amp;station=CEV</t>
  </si>
  <si>
    <t>https://www.meteosvizzera.admin.ch/servizi-e-pubblicazioni/applicazioni/valori-attuali-e-reti-di-misura.html#param=messnetz-automatisch&amp;station=CEV</t>
  </si>
  <si>
    <t>https://www.meteoswiss.admin.ch/services-and-publications/applications/measurement-values-and-measuring-networks.html#param=messnetz-automatisch&amp;station=CEV</t>
  </si>
  <si>
    <t>CGI</t>
  </si>
  <si>
    <t>Nyon / Changins</t>
  </si>
  <si>
    <t>0-20000-0-06705</t>
  </si>
  <si>
    <t>https://www.meteoschweiz.admin.ch/service-und-publikationen/applikationen/messwerte-und-messnetze.html#param=messnetz-automatisch&amp;station=CGI</t>
  </si>
  <si>
    <t>https://www.meteosuisse.admin.ch/services-et-publications/applications/valeurs-mesurees-et-reseaux-de-mesure.html#param=messnetz-automatisch&amp;station=CGI</t>
  </si>
  <si>
    <t>https://www.meteosvizzera.admin.ch/servizi-e-pubblicazioni/applicazioni/valori-attuali-e-reti-di-misura.html#param=messnetz-automatisch&amp;station=CGI</t>
  </si>
  <si>
    <t>https://www.meteoswiss.admin.ch/services-and-publications/applications/measurement-values-and-measuring-networks.html#param=messnetz-automatisch&amp;station=CGI</t>
  </si>
  <si>
    <t>CHA</t>
  </si>
  <si>
    <t>Chasseral</t>
  </si>
  <si>
    <t>0-20000-0-06605</t>
  </si>
  <si>
    <t>31.12.1980</t>
  </si>
  <si>
    <t>https://www.meteoschweiz.admin.ch/service-und-publikationen/applikationen/messwerte-und-messnetze.html#param=messnetz-automatisch&amp;station=CHA</t>
  </si>
  <si>
    <t>https://www.meteosuisse.admin.ch/services-et-publications/applications/valeurs-mesurees-et-reseaux-de-mesure.html#param=messnetz-automatisch&amp;station=CHA</t>
  </si>
  <si>
    <t>https://www.meteosvizzera.admin.ch/servizi-e-pubblicazioni/applicazioni/valori-attuali-e-reti-di-misura.html#param=messnetz-automatisch&amp;station=CHA</t>
  </si>
  <si>
    <t>https://www.meteoswiss.admin.ch/services-and-publications/applications/measurement-values-and-measuring-networks.html#param=messnetz-automatisch&amp;station=CHA</t>
  </si>
  <si>
    <t>CHB</t>
  </si>
  <si>
    <t>Les Charbonnières</t>
  </si>
  <si>
    <t>0-20000-0-06703</t>
  </si>
  <si>
    <t>https://www.meteoschweiz.admin.ch/service-und-publikationen/applikationen/messwerte-und-messnetze.html#param=messnetz-automatisch&amp;station=CHB</t>
  </si>
  <si>
    <t>https://www.meteosuisse.admin.ch/services-et-publications/applications/valeurs-mesurees-et-reseaux-de-mesure.html#param=messnetz-automatisch&amp;station=CHB</t>
  </si>
  <si>
    <t>https://www.meteosvizzera.admin.ch/servizi-e-pubblicazioni/applicazioni/valori-attuali-e-reti-di-misura.html#param=messnetz-automatisch&amp;station=CHB</t>
  </si>
  <si>
    <t>https://www.meteoswiss.admin.ch/services-and-publications/applications/measurement-values-and-measuring-networks.html#param=messnetz-automatisch&amp;station=CHB</t>
  </si>
  <si>
    <t>CHD</t>
  </si>
  <si>
    <t>Château-d'Oex</t>
  </si>
  <si>
    <t>0-20000-0-06627</t>
  </si>
  <si>
    <t>01.01.1879</t>
  </si>
  <si>
    <t>https://www.meteoschweiz.admin.ch/service-und-publikationen/applikationen/messwerte-und-messnetze.html#param=messnetz-automatisch&amp;station=CHD</t>
  </si>
  <si>
    <t>https://www.meteosuisse.admin.ch/services-et-publications/applications/valeurs-mesurees-et-reseaux-de-mesure.html#param=messnetz-automatisch&amp;station=CHD</t>
  </si>
  <si>
    <t>https://www.meteosvizzera.admin.ch/servizi-e-pubblicazioni/applicazioni/valori-attuali-e-reti-di-misura.html#param=messnetz-automatisch&amp;station=CHD</t>
  </si>
  <si>
    <t>https://www.meteoswiss.admin.ch/services-and-publications/applications/measurement-values-and-measuring-networks.html#param=messnetz-automatisch&amp;station=CHD</t>
  </si>
  <si>
    <t>CHM</t>
  </si>
  <si>
    <t>Chaumont</t>
  </si>
  <si>
    <t>0-20000-0-06608</t>
  </si>
  <si>
    <t>https://www.meteoschweiz.admin.ch/service-und-publikationen/applikationen/messwerte-und-messnetze.html#param=messnetz-automatisch&amp;station=CHM</t>
  </si>
  <si>
    <t>https://www.meteosuisse.admin.ch/services-et-publications/applications/valeurs-mesurees-et-reseaux-de-mesure.html#param=messnetz-automatisch&amp;station=CHM</t>
  </si>
  <si>
    <t>https://www.meteosvizzera.admin.ch/servizi-e-pubblicazioni/applicazioni/valori-attuali-e-reti-di-misura.html#param=messnetz-automatisch&amp;station=CHM</t>
  </si>
  <si>
    <t>https://www.meteoswiss.admin.ch/services-and-publications/applications/measurement-values-and-measuring-networks.html#param=messnetz-automatisch&amp;station=CHM</t>
  </si>
  <si>
    <t>CHU</t>
  </si>
  <si>
    <t>Chur</t>
  </si>
  <si>
    <t>0-20000-0-06786</t>
  </si>
  <si>
    <t>01.01.1887</t>
  </si>
  <si>
    <t>https://www.meteoschweiz.admin.ch/service-und-publikationen/applikationen/messwerte-und-messnetze.html#param=messnetz-automatisch&amp;station=CHU</t>
  </si>
  <si>
    <t>https://www.meteosuisse.admin.ch/services-et-publications/applications/valeurs-mesurees-et-reseaux-de-mesure.html#param=messnetz-automatisch&amp;station=CHU</t>
  </si>
  <si>
    <t>https://www.meteosvizzera.admin.ch/servizi-e-pubblicazioni/applicazioni/valori-attuali-e-reti-di-misura.html#param=messnetz-automatisch&amp;station=CHU</t>
  </si>
  <si>
    <t>https://www.meteoswiss.admin.ch/services-and-publications/applications/measurement-values-and-measuring-networks.html#param=messnetz-automatisch&amp;station=CHU</t>
  </si>
  <si>
    <t>CHZ</t>
  </si>
  <si>
    <t>Cham</t>
  </si>
  <si>
    <t>0-20000-0-06674</t>
  </si>
  <si>
    <t>https://www.meteoschweiz.admin.ch/service-und-publikationen/applikationen/messwerte-und-messnetze.html#param=messnetz-automatisch&amp;station=CHZ</t>
  </si>
  <si>
    <t>https://www.meteosuisse.admin.ch/services-et-publications/applications/valeurs-mesurees-et-reseaux-de-mesure.html#param=messnetz-automatisch&amp;station=CHZ</t>
  </si>
  <si>
    <t>https://www.meteosvizzera.admin.ch/servizi-e-pubblicazioni/applicazioni/valori-attuali-e-reti-di-misura.html#param=messnetz-automatisch&amp;station=CHZ</t>
  </si>
  <si>
    <t>https://www.meteoswiss.admin.ch/services-and-publications/applications/measurement-values-and-measuring-networks.html#param=messnetz-automatisch&amp;station=CHZ</t>
  </si>
  <si>
    <t>CIM</t>
  </si>
  <si>
    <t>Cimetta</t>
  </si>
  <si>
    <t>0-20000-0-06759</t>
  </si>
  <si>
    <t>13.10.1981</t>
  </si>
  <si>
    <t>https://www.meteoschweiz.admin.ch/service-und-publikationen/applikationen/messwerte-und-messnetze.html#param=messnetz-automatisch&amp;station=CIM</t>
  </si>
  <si>
    <t>https://www.meteosuisse.admin.ch/services-et-publications/applications/valeurs-mesurees-et-reseaux-de-mesure.html#param=messnetz-automatisch&amp;station=CIM</t>
  </si>
  <si>
    <t>https://www.meteosvizzera.admin.ch/servizi-e-pubblicazioni/applicazioni/valori-attuali-e-reti-di-misura.html#param=messnetz-automatisch&amp;station=CIM</t>
  </si>
  <si>
    <t>https://www.meteoswiss.admin.ch/services-and-publications/applications/measurement-values-and-measuring-networks.html#param=messnetz-automatisch&amp;station=CIM</t>
  </si>
  <si>
    <t>CMA</t>
  </si>
  <si>
    <t>Crap Masegn</t>
  </si>
  <si>
    <t>0-20000-0-06688</t>
  </si>
  <si>
    <t>13.02.1992</t>
  </si>
  <si>
    <t>https://www.meteoschweiz.admin.ch/service-und-publikationen/applikationen/messwerte-und-messnetze.html#param=messnetz-automatisch&amp;station=CMA</t>
  </si>
  <si>
    <t>https://www.meteosuisse.admin.ch/services-et-publications/applications/valeurs-mesurees-et-reseaux-de-mesure.html#param=messnetz-automatisch&amp;station=CMA</t>
  </si>
  <si>
    <t>https://www.meteosvizzera.admin.ch/servizi-e-pubblicazioni/applicazioni/valori-attuali-e-reti-di-misura.html#param=messnetz-automatisch&amp;station=CMA</t>
  </si>
  <si>
    <t>https://www.meteoswiss.admin.ch/services-and-publications/applications/measurement-values-and-measuring-networks.html#param=messnetz-automatisch&amp;station=CMA</t>
  </si>
  <si>
    <t>COM</t>
  </si>
  <si>
    <t>Acquarossa / Comprovasco</t>
  </si>
  <si>
    <t>0-20000-0-06756</t>
  </si>
  <si>
    <t>https://www.meteoschweiz.admin.ch/service-und-publikationen/applikationen/messwerte-und-messnetze.html#param=messnetz-automatisch&amp;station=COM</t>
  </si>
  <si>
    <t>https://www.meteosuisse.admin.ch/services-et-publications/applications/valeurs-mesurees-et-reseaux-de-mesure.html#param=messnetz-automatisch&amp;station=COM</t>
  </si>
  <si>
    <t>https://www.meteosvizzera.admin.ch/servizi-e-pubblicazioni/applicazioni/valori-attuali-e-reti-di-misura.html#param=messnetz-automatisch&amp;station=COM</t>
  </si>
  <si>
    <t>https://www.meteoswiss.admin.ch/services-and-publications/applications/measurement-values-and-measuring-networks.html#param=messnetz-automatisch&amp;station=COM</t>
  </si>
  <si>
    <t>COV</t>
  </si>
  <si>
    <t>Piz Corvatsch</t>
  </si>
  <si>
    <t>0-20000-0-06791</t>
  </si>
  <si>
    <t>26.07.1979</t>
  </si>
  <si>
    <t>https://www.meteoschweiz.admin.ch/service-und-publikationen/applikationen/messwerte-und-messnetze.html#param=messnetz-automatisch&amp;station=COV</t>
  </si>
  <si>
    <t>https://www.meteosuisse.admin.ch/services-et-publications/applications/valeurs-mesurees-et-reseaux-de-mesure.html#param=messnetz-automatisch&amp;station=COV</t>
  </si>
  <si>
    <t>https://www.meteosvizzera.admin.ch/servizi-e-pubblicazioni/applicazioni/valori-attuali-e-reti-di-misura.html#param=messnetz-automatisch&amp;station=COV</t>
  </si>
  <si>
    <t>https://www.meteoswiss.admin.ch/services-and-publications/applications/measurement-values-and-measuring-networks.html#param=messnetz-automatisch&amp;station=COV</t>
  </si>
  <si>
    <t>COY</t>
  </si>
  <si>
    <t>Courtelary</t>
  </si>
  <si>
    <t>0-20000-0-06710</t>
  </si>
  <si>
    <t>01.01.1913</t>
  </si>
  <si>
    <t>https://www.meteoschweiz.admin.ch/service-und-publikationen/applikationen/messwerte-und-messnetze.html#param=messnetz-automatisch&amp;station=COY</t>
  </si>
  <si>
    <t>https://www.meteosuisse.admin.ch/services-et-publications/applications/valeurs-mesurees-et-reseaux-de-mesure.html#param=messnetz-automatisch&amp;station=COY</t>
  </si>
  <si>
    <t>https://www.meteosvizzera.admin.ch/servizi-e-pubblicazioni/applicazioni/valori-attuali-e-reti-di-misura.html#param=messnetz-automatisch&amp;station=COY</t>
  </si>
  <si>
    <t>https://www.meteoswiss.admin.ch/services-and-publications/applications/measurement-values-and-measuring-networks.html#param=messnetz-automatisch&amp;station=COY</t>
  </si>
  <si>
    <t>CRM</t>
  </si>
  <si>
    <t>Cressier</t>
  </si>
  <si>
    <t>0-20000-0-06606</t>
  </si>
  <si>
    <t>24.10.1991</t>
  </si>
  <si>
    <t>https://www.meteoschweiz.admin.ch/service-und-publikationen/applikationen/messwerte-und-messnetze.html#param=messnetz-automatisch&amp;station=CRM</t>
  </si>
  <si>
    <t>https://www.meteosuisse.admin.ch/services-et-publications/applications/valeurs-mesurees-et-reseaux-de-mesure.html#param=messnetz-automatisch&amp;station=CRM</t>
  </si>
  <si>
    <t>https://www.meteosvizzera.admin.ch/servizi-e-pubblicazioni/applicazioni/valori-attuali-e-reti-di-misura.html#param=messnetz-automatisch&amp;station=CRM</t>
  </si>
  <si>
    <t>https://www.meteoswiss.admin.ch/services-and-publications/applications/measurement-values-and-measuring-networks.html#param=messnetz-automatisch&amp;station=CRM</t>
  </si>
  <si>
    <t>DAV</t>
  </si>
  <si>
    <t>Davos</t>
  </si>
  <si>
    <t>0-20000-0-06784</t>
  </si>
  <si>
    <t>https://www.meteoschweiz.admin.ch/service-und-publikationen/applikationen/messwerte-und-messnetze.html#param=messnetz-automatisch&amp;station=DAV</t>
  </si>
  <si>
    <t>https://www.meteosuisse.admin.ch/services-et-publications/applications/valeurs-mesurees-et-reseaux-de-mesure.html#param=messnetz-automatisch&amp;station=DAV</t>
  </si>
  <si>
    <t>https://www.meteosvizzera.admin.ch/servizi-e-pubblicazioni/applicazioni/valori-attuali-e-reti-di-misura.html#param=messnetz-automatisch&amp;station=DAV</t>
  </si>
  <si>
    <t>https://www.meteoswiss.admin.ch/services-and-publications/applications/measurement-values-and-measuring-networks.html#param=messnetz-automatisch&amp;station=DAV</t>
  </si>
  <si>
    <t>DEM</t>
  </si>
  <si>
    <t>Delémont</t>
  </si>
  <si>
    <t>JU</t>
  </si>
  <si>
    <t>0-20000-0-06602</t>
  </si>
  <si>
    <t>14.07.1892</t>
  </si>
  <si>
    <t>https://www.meteoschweiz.admin.ch/service-und-publikationen/applikationen/messwerte-und-messnetze.html#param=messnetz-automatisch&amp;station=DEM</t>
  </si>
  <si>
    <t>https://www.meteosuisse.admin.ch/services-et-publications/applications/valeurs-mesurees-et-reseaux-de-mesure.html#param=messnetz-automatisch&amp;station=DEM</t>
  </si>
  <si>
    <t>https://www.meteosvizzera.admin.ch/servizi-e-pubblicazioni/applicazioni/valori-attuali-e-reti-di-misura.html#param=messnetz-automatisch&amp;station=DEM</t>
  </si>
  <si>
    <t>https://www.meteoswiss.admin.ch/services-and-publications/applications/measurement-values-and-measuring-networks.html#param=messnetz-automatisch&amp;station=DEM</t>
  </si>
  <si>
    <t>DIA</t>
  </si>
  <si>
    <t>Les Diablerets</t>
  </si>
  <si>
    <t>0-20000-0-06714</t>
  </si>
  <si>
    <t>12.10.1992</t>
  </si>
  <si>
    <t>https://www.meteoschweiz.admin.ch/service-und-publikationen/applikationen/messwerte-und-messnetze.html#param=messnetz-automatisch&amp;station=DIA</t>
  </si>
  <si>
    <t>https://www.meteosuisse.admin.ch/services-et-publications/applications/valeurs-mesurees-et-reseaux-de-mesure.html#param=messnetz-automatisch&amp;station=DIA</t>
  </si>
  <si>
    <t>https://www.meteosvizzera.admin.ch/servizi-e-pubblicazioni/applicazioni/valori-attuali-e-reti-di-misura.html#param=messnetz-automatisch&amp;station=DIA</t>
  </si>
  <si>
    <t>https://www.meteoswiss.admin.ch/services-and-publications/applications/measurement-values-and-measuring-networks.html#param=messnetz-automatisch&amp;station=DIA</t>
  </si>
  <si>
    <t>DIS</t>
  </si>
  <si>
    <t>Disentis</t>
  </si>
  <si>
    <t>0-20000-0-06782</t>
  </si>
  <si>
    <t>https://www.meteoschweiz.admin.ch/service-und-publikationen/applikationen/messwerte-und-messnetze.html#param=messnetz-automatisch&amp;station=DIS</t>
  </si>
  <si>
    <t>https://www.meteosuisse.admin.ch/services-et-publications/applications/valeurs-mesurees-et-reseaux-de-mesure.html#param=messnetz-automatisch&amp;station=DIS</t>
  </si>
  <si>
    <t>https://www.meteosvizzera.admin.ch/servizi-e-pubblicazioni/applicazioni/valori-attuali-e-reti-di-misura.html#param=messnetz-automatisch&amp;station=DIS</t>
  </si>
  <si>
    <t>https://www.meteoswiss.admin.ch/services-and-publications/applications/measurement-values-and-measuring-networks.html#param=messnetz-automatisch&amp;station=DIS</t>
  </si>
  <si>
    <t>DOL</t>
  </si>
  <si>
    <t>La Dôle</t>
  </si>
  <si>
    <t>0-20000-0-06702</t>
  </si>
  <si>
    <t>01.01.1973</t>
  </si>
  <si>
    <t>https://www.meteoschweiz.admin.ch/service-und-publikationen/applikationen/messwerte-und-messnetze.html#param=messnetz-automatisch&amp;station=DOL</t>
  </si>
  <si>
    <t>https://www.meteosuisse.admin.ch/services-et-publications/applications/valeurs-mesurees-et-reseaux-de-mesure.html#param=messnetz-automatisch&amp;station=DOL</t>
  </si>
  <si>
    <t>https://www.meteosvizzera.admin.ch/servizi-e-pubblicazioni/applicazioni/valori-attuali-e-reti-di-misura.html#param=messnetz-automatisch&amp;station=DOL</t>
  </si>
  <si>
    <t>https://www.meteoswiss.admin.ch/services-and-publications/applications/measurement-values-and-measuring-networks.html#param=messnetz-automatisch&amp;station=DOL</t>
  </si>
  <si>
    <t>EBK</t>
  </si>
  <si>
    <t>Ebnat-Kappel</t>
  </si>
  <si>
    <t>0-20000-0-06693</t>
  </si>
  <si>
    <t>01.08.1879</t>
  </si>
  <si>
    <t>https://www.meteoschweiz.admin.ch/service-und-publikationen/applikationen/messwerte-und-messnetze.html#param=messnetz-automatisch&amp;station=EBK</t>
  </si>
  <si>
    <t>https://www.meteosuisse.admin.ch/services-et-publications/applications/valeurs-mesurees-et-reseaux-de-mesure.html#param=messnetz-automatisch&amp;station=EBK</t>
  </si>
  <si>
    <t>https://www.meteosvizzera.admin.ch/servizi-e-pubblicazioni/applicazioni/valori-attuali-e-reti-di-misura.html#param=messnetz-automatisch&amp;station=EBK</t>
  </si>
  <si>
    <t>https://www.meteoswiss.admin.ch/services-and-publications/applications/measurement-values-and-measuring-networks.html#param=messnetz-automatisch&amp;station=EBK</t>
  </si>
  <si>
    <t>EGH</t>
  </si>
  <si>
    <t>Eggishorn</t>
  </si>
  <si>
    <t>0-20000-0-06739</t>
  </si>
  <si>
    <t>20.10.1993</t>
  </si>
  <si>
    <t>https://www.meteoschweiz.admin.ch/service-und-publikationen/applikationen/messwerte-und-messnetze.html#param=messnetz-automatisch&amp;station=EGH</t>
  </si>
  <si>
    <t>https://www.meteosuisse.admin.ch/services-et-publications/applications/valeurs-mesurees-et-reseaux-de-mesure.html#param=messnetz-automatisch&amp;station=EGH</t>
  </si>
  <si>
    <t>https://www.meteosvizzera.admin.ch/servizi-e-pubblicazioni/applicazioni/valori-attuali-e-reti-di-misura.html#param=messnetz-automatisch&amp;station=EGH</t>
  </si>
  <si>
    <t>https://www.meteoswiss.admin.ch/services-and-publications/applications/measurement-values-and-measuring-networks.html#param=messnetz-automatisch&amp;station=EGH</t>
  </si>
  <si>
    <t>EGO</t>
  </si>
  <si>
    <t>Egolzwil</t>
  </si>
  <si>
    <t>LU</t>
  </si>
  <si>
    <t>0-20000-0-06648</t>
  </si>
  <si>
    <t>https://www.meteoschweiz.admin.ch/service-und-publikationen/applikationen/messwerte-und-messnetze.html#param=messnetz-automatisch&amp;station=EGO</t>
  </si>
  <si>
    <t>https://www.meteosuisse.admin.ch/services-et-publications/applications/valeurs-mesurees-et-reseaux-de-mesure.html#param=messnetz-automatisch&amp;station=EGO</t>
  </si>
  <si>
    <t>https://www.meteosvizzera.admin.ch/servizi-e-pubblicazioni/applicazioni/valori-attuali-e-reti-di-misura.html#param=messnetz-automatisch&amp;station=EGO</t>
  </si>
  <si>
    <t>https://www.meteoswiss.admin.ch/services-and-publications/applications/measurement-values-and-measuring-networks.html#param=messnetz-automatisch&amp;station=EGO</t>
  </si>
  <si>
    <t>EIN</t>
  </si>
  <si>
    <t>Einsiedeln</t>
  </si>
  <si>
    <t>SZ</t>
  </si>
  <si>
    <t>0-20000-0-06675</t>
  </si>
  <si>
    <t>https://www.meteoschweiz.admin.ch/service-und-publikationen/applikationen/messwerte-und-messnetze.html#param=messnetz-automatisch&amp;station=EIN</t>
  </si>
  <si>
    <t>https://www.meteosuisse.admin.ch/services-et-publications/applications/valeurs-mesurees-et-reseaux-de-mesure.html#param=messnetz-automatisch&amp;station=EIN</t>
  </si>
  <si>
    <t>https://www.meteosvizzera.admin.ch/servizi-e-pubblicazioni/applicazioni/valori-attuali-e-reti-di-misura.html#param=messnetz-automatisch&amp;station=EIN</t>
  </si>
  <si>
    <t>https://www.meteoswiss.admin.ch/services-and-publications/applications/measurement-values-and-measuring-networks.html#param=messnetz-automatisch&amp;station=EIN</t>
  </si>
  <si>
    <t>ELM</t>
  </si>
  <si>
    <t>Elm</t>
  </si>
  <si>
    <t>GL</t>
  </si>
  <si>
    <t>0-20000-0-06682</t>
  </si>
  <si>
    <t>01.02.1878</t>
  </si>
  <si>
    <t>https://www.meteoschweiz.admin.ch/service-und-publikationen/applikationen/messwerte-und-messnetze.html#param=messnetz-automatisch&amp;station=ELM</t>
  </si>
  <si>
    <t>https://www.meteosuisse.admin.ch/services-et-publications/applications/valeurs-mesurees-et-reseaux-de-mesure.html#param=messnetz-automatisch&amp;station=ELM</t>
  </si>
  <si>
    <t>https://www.meteosvizzera.admin.ch/servizi-e-pubblicazioni/applicazioni/valori-attuali-e-reti-di-misura.html#param=messnetz-automatisch&amp;station=ELM</t>
  </si>
  <si>
    <t>https://www.meteoswiss.admin.ch/services-and-publications/applications/measurement-values-and-measuring-networks.html#param=messnetz-automatisch&amp;station=ELM</t>
  </si>
  <si>
    <t>ENG</t>
  </si>
  <si>
    <t>Engelberg</t>
  </si>
  <si>
    <t>OW</t>
  </si>
  <si>
    <t>0-20000-0-06655</t>
  </si>
  <si>
    <t>Südwesthang</t>
  </si>
  <si>
    <t>Versant sud-ouest</t>
  </si>
  <si>
    <t>Versante sud-occidentale</t>
  </si>
  <si>
    <t>south-western oriented slope</t>
  </si>
  <si>
    <t>https://www.meteoschweiz.admin.ch/service-und-publikationen/applikationen/messwerte-und-messnetze.html#param=messnetz-automatisch&amp;station=ENG</t>
  </si>
  <si>
    <t>https://www.meteosuisse.admin.ch/services-et-publications/applications/valeurs-mesurees-et-reseaux-de-mesure.html#param=messnetz-automatisch&amp;station=ENG</t>
  </si>
  <si>
    <t>https://www.meteosvizzera.admin.ch/servizi-e-pubblicazioni/applicazioni/valori-attuali-e-reti-di-misura.html#param=messnetz-automatisch&amp;station=ENG</t>
  </si>
  <si>
    <t>https://www.meteoswiss.admin.ch/services-and-publications/applications/measurement-values-and-measuring-networks.html#param=messnetz-automatisch&amp;station=ENG</t>
  </si>
  <si>
    <t>EVI</t>
  </si>
  <si>
    <t>Evionnaz</t>
  </si>
  <si>
    <t>0-20000-0-06715</t>
  </si>
  <si>
    <t>30.08.1993</t>
  </si>
  <si>
    <t>https://www.meteoschweiz.admin.ch/service-und-publikationen/applikationen/messwerte-und-messnetze.html#param=messnetz-automatisch&amp;station=EVI</t>
  </si>
  <si>
    <t>https://www.meteosuisse.admin.ch/services-et-publications/applications/valeurs-mesurees-et-reseaux-de-mesure.html#param=messnetz-automatisch&amp;station=EVI</t>
  </si>
  <si>
    <t>https://www.meteosvizzera.admin.ch/servizi-e-pubblicazioni/applicazioni/valori-attuali-e-reti-di-misura.html#param=messnetz-automatisch&amp;station=EVI</t>
  </si>
  <si>
    <t>https://www.meteoswiss.admin.ch/services-and-publications/applications/measurement-values-and-measuring-networks.html#param=messnetz-automatisch&amp;station=EVI</t>
  </si>
  <si>
    <t>EVO</t>
  </si>
  <si>
    <t>Evolène / Villa</t>
  </si>
  <si>
    <t>0-20000-0-06722</t>
  </si>
  <si>
    <t>23.09.1986</t>
  </si>
  <si>
    <t>https://www.meteoschweiz.admin.ch/service-und-publikationen/applikationen/messwerte-und-messnetze.html#param=messnetz-automatisch&amp;station=EVO</t>
  </si>
  <si>
    <t>https://www.meteosuisse.admin.ch/services-et-publications/applications/valeurs-mesurees-et-reseaux-de-mesure.html#param=messnetz-automatisch&amp;station=EVO</t>
  </si>
  <si>
    <t>https://www.meteosvizzera.admin.ch/servizi-e-pubblicazioni/applicazioni/valori-attuali-e-reti-di-misura.html#param=messnetz-automatisch&amp;station=EVO</t>
  </si>
  <si>
    <t>https://www.meteoswiss.admin.ch/services-and-publications/applications/measurement-values-and-measuring-networks.html#param=messnetz-automatisch&amp;station=EVO</t>
  </si>
  <si>
    <t>FAH</t>
  </si>
  <si>
    <t>Fahy</t>
  </si>
  <si>
    <t>0-20000-0-06616</t>
  </si>
  <si>
    <t>01.01.1957</t>
  </si>
  <si>
    <t>https://www.meteoschweiz.admin.ch/service-und-publikationen/applikationen/messwerte-und-messnetze.html#param=messnetz-automatisch&amp;station=FAH</t>
  </si>
  <si>
    <t>https://www.meteosuisse.admin.ch/services-et-publications/applications/valeurs-mesurees-et-reseaux-de-mesure.html#param=messnetz-automatisch&amp;station=FAH</t>
  </si>
  <si>
    <t>https://www.meteosvizzera.admin.ch/servizi-e-pubblicazioni/applicazioni/valori-attuali-e-reti-di-misura.html#param=messnetz-automatisch&amp;station=FAH</t>
  </si>
  <si>
    <t>https://www.meteoswiss.admin.ch/services-and-publications/applications/measurement-values-and-measuring-networks.html#param=messnetz-automatisch&amp;station=FAH</t>
  </si>
  <si>
    <t>FLU</t>
  </si>
  <si>
    <t>Flühli, LU</t>
  </si>
  <si>
    <t>0-20000-0-06652</t>
  </si>
  <si>
    <t>01.08.1882</t>
  </si>
  <si>
    <t>Westhang</t>
  </si>
  <si>
    <t>Versant ouest</t>
  </si>
  <si>
    <t>Versante occidentale</t>
  </si>
  <si>
    <t>western oriented slope</t>
  </si>
  <si>
    <t>https://www.meteoschweiz.admin.ch/service-und-publikationen/applikationen/messwerte-und-messnetze.html#param=messnetz-automatisch&amp;station=FLU</t>
  </si>
  <si>
    <t>https://www.meteosuisse.admin.ch/services-et-publications/applications/valeurs-mesurees-et-reseaux-de-mesure.html#param=messnetz-automatisch&amp;station=FLU</t>
  </si>
  <si>
    <t>https://www.meteosvizzera.admin.ch/servizi-e-pubblicazioni/applicazioni/valori-attuali-e-reti-di-misura.html#param=messnetz-automatisch&amp;station=FLU</t>
  </si>
  <si>
    <t>https://www.meteoswiss.admin.ch/services-and-publications/applications/measurement-values-and-measuring-networks.html#param=messnetz-automatisch&amp;station=FLU</t>
  </si>
  <si>
    <t>FRE</t>
  </si>
  <si>
    <t>Bullet / La Frétaz</t>
  </si>
  <si>
    <t>0-20000-0-06619</t>
  </si>
  <si>
    <t>01.01.1978</t>
  </si>
  <si>
    <t>https://www.meteoschweiz.admin.ch/service-und-publikationen/applikationen/messwerte-und-messnetze.html#param=messnetz-automatisch&amp;station=FRE</t>
  </si>
  <si>
    <t>https://www.meteosuisse.admin.ch/services-et-publications/applications/valeurs-mesurees-et-reseaux-de-mesure.html#param=messnetz-automatisch&amp;station=FRE</t>
  </si>
  <si>
    <t>https://www.meteosvizzera.admin.ch/servizi-e-pubblicazioni/applicazioni/valori-attuali-e-reti-di-misura.html#param=messnetz-automatisch&amp;station=FRE</t>
  </si>
  <si>
    <t>https://www.meteoswiss.admin.ch/services-and-publications/applications/measurement-values-and-measuring-networks.html#param=messnetz-automatisch&amp;station=FRE</t>
  </si>
  <si>
    <t>FRU</t>
  </si>
  <si>
    <t>Frutigen</t>
  </si>
  <si>
    <t>0-20000-0-06613</t>
  </si>
  <si>
    <t>https://www.meteoschweiz.admin.ch/service-und-publikationen/applikationen/messwerte-und-messnetze.html#param=messnetz-automatisch&amp;station=FRU</t>
  </si>
  <si>
    <t>https://www.meteosuisse.admin.ch/services-et-publications/applications/valeurs-mesurees-et-reseaux-de-mesure.html#param=messnetz-automatisch&amp;station=FRU</t>
  </si>
  <si>
    <t>https://www.meteosvizzera.admin.ch/servizi-e-pubblicazioni/applicazioni/valori-attuali-e-reti-di-misura.html#param=messnetz-automatisch&amp;station=FRU</t>
  </si>
  <si>
    <t>https://www.meteoswiss.admin.ch/services-and-publications/applications/measurement-values-and-measuring-networks.html#param=messnetz-automatisch&amp;station=FRU</t>
  </si>
  <si>
    <t>GEN</t>
  </si>
  <si>
    <t>Monte Generoso</t>
  </si>
  <si>
    <t>0-20000-0-06777</t>
  </si>
  <si>
    <t>26.03.1992</t>
  </si>
  <si>
    <t>https://www.meteoschweiz.admin.ch/service-und-publikationen/applikationen/messwerte-und-messnetze.html#param=messnetz-automatisch&amp;station=GEN</t>
  </si>
  <si>
    <t>https://www.meteosuisse.admin.ch/services-et-publications/applications/valeurs-mesurees-et-reseaux-de-mesure.html#param=messnetz-automatisch&amp;station=GEN</t>
  </si>
  <si>
    <t>https://www.meteosvizzera.admin.ch/servizi-e-pubblicazioni/applicazioni/valori-attuali-e-reti-di-misura.html#param=messnetz-automatisch&amp;station=GEN</t>
  </si>
  <si>
    <t>https://www.meteoswiss.admin.ch/services-and-publications/applications/measurement-values-and-measuring-networks.html#param=messnetz-automatisch&amp;station=GEN</t>
  </si>
  <si>
    <t>GES</t>
  </si>
  <si>
    <t>Gersau</t>
  </si>
  <si>
    <t>0-20000-0-06653</t>
  </si>
  <si>
    <t>01.02.1867</t>
  </si>
  <si>
    <t>https://www.meteoschweiz.admin.ch/service-und-publikationen/applikationen/messwerte-und-messnetze.html#param=messnetz-automatisch&amp;station=GES</t>
  </si>
  <si>
    <t>https://www.meteosuisse.admin.ch/services-et-publications/applications/valeurs-mesurees-et-reseaux-de-mesure.html#param=messnetz-automatisch&amp;station=GES</t>
  </si>
  <si>
    <t>https://www.meteosvizzera.admin.ch/servizi-e-pubblicazioni/applicazioni/valori-attuali-e-reti-di-misura.html#param=messnetz-automatisch&amp;station=GES</t>
  </si>
  <si>
    <t>https://www.meteoswiss.admin.ch/services-and-publications/applications/measurement-values-and-measuring-networks.html#param=messnetz-automatisch&amp;station=GES</t>
  </si>
  <si>
    <t>GIH</t>
  </si>
  <si>
    <t>Giswil</t>
  </si>
  <si>
    <t>0-20000-0-06657</t>
  </si>
  <si>
    <t>01.08.1976</t>
  </si>
  <si>
    <t>https://www.meteoschweiz.admin.ch/service-und-publikationen/applikationen/messwerte-und-messnetze.html#param=messnetz-automatisch&amp;station=GIH</t>
  </si>
  <si>
    <t>https://www.meteosuisse.admin.ch/services-et-publications/applications/valeurs-mesurees-et-reseaux-de-mesure.html#param=messnetz-automatisch&amp;station=GIH</t>
  </si>
  <si>
    <t>https://www.meteosvizzera.admin.ch/servizi-e-pubblicazioni/applicazioni/valori-attuali-e-reti-di-misura.html#param=messnetz-automatisch&amp;station=GIH</t>
  </si>
  <si>
    <t>https://www.meteoswiss.admin.ch/services-and-publications/applications/measurement-values-and-measuring-networks.html#param=messnetz-automatisch&amp;station=GIH</t>
  </si>
  <si>
    <t>GLA</t>
  </si>
  <si>
    <t>Glarus</t>
  </si>
  <si>
    <t>0-20000-0-06685</t>
  </si>
  <si>
    <t>https://www.meteoschweiz.admin.ch/service-und-publikationen/applikationen/messwerte-und-messnetze.html#param=messnetz-automatisch&amp;station=GLA</t>
  </si>
  <si>
    <t>https://www.meteosuisse.admin.ch/services-et-publications/applications/valeurs-mesurees-et-reseaux-de-mesure.html#param=messnetz-automatisch&amp;station=GLA</t>
  </si>
  <si>
    <t>https://www.meteosvizzera.admin.ch/servizi-e-pubblicazioni/applicazioni/valori-attuali-e-reti-di-misura.html#param=messnetz-automatisch&amp;station=GLA</t>
  </si>
  <si>
    <t>https://www.meteoswiss.admin.ch/services-and-publications/applications/measurement-values-and-measuring-networks.html#param=messnetz-automatisch&amp;station=GLA</t>
  </si>
  <si>
    <t>GOE</t>
  </si>
  <si>
    <t>Gösgen</t>
  </si>
  <si>
    <t>SO</t>
  </si>
  <si>
    <t>0-20000-0-06626</t>
  </si>
  <si>
    <t>https://www.meteoschweiz.admin.ch/service-und-publikationen/applikationen/messwerte-und-messnetze.html#param=messnetz-automatisch&amp;station=GOE</t>
  </si>
  <si>
    <t>https://www.meteosuisse.admin.ch/services-et-publications/applications/valeurs-mesurees-et-reseaux-de-mesure.html#param=messnetz-automatisch&amp;station=GOE</t>
  </si>
  <si>
    <t>https://www.meteosvizzera.admin.ch/servizi-e-pubblicazioni/applicazioni/valori-attuali-e-reti-di-misura.html#param=messnetz-automatisch&amp;station=GOE</t>
  </si>
  <si>
    <t>https://www.meteoswiss.admin.ch/services-and-publications/applications/measurement-values-and-measuring-networks.html#param=messnetz-automatisch&amp;station=GOE</t>
  </si>
  <si>
    <t>GOR</t>
  </si>
  <si>
    <t>Gornergrat</t>
  </si>
  <si>
    <t>0-20000-0-06749</t>
  </si>
  <si>
    <t>28.07.1993</t>
  </si>
  <si>
    <t>https://www.meteoschweiz.admin.ch/service-und-publikationen/applikationen/messwerte-und-messnetze.html#param=messnetz-automatisch&amp;station=GOR</t>
  </si>
  <si>
    <t>https://www.meteosuisse.admin.ch/services-et-publications/applications/valeurs-mesurees-et-reseaux-de-mesure.html#param=messnetz-automatisch&amp;station=GOR</t>
  </si>
  <si>
    <t>https://www.meteosvizzera.admin.ch/servizi-e-pubblicazioni/applicazioni/valori-attuali-e-reti-di-misura.html#param=messnetz-automatisch&amp;station=GOR</t>
  </si>
  <si>
    <t>https://www.meteoswiss.admin.ch/services-and-publications/applications/measurement-values-and-measuring-networks.html#param=messnetz-automatisch&amp;station=GOR</t>
  </si>
  <si>
    <t>GOS</t>
  </si>
  <si>
    <t>Göschenen</t>
  </si>
  <si>
    <t>0-20000-0-06668</t>
  </si>
  <si>
    <t>01.01.1883</t>
  </si>
  <si>
    <t>https://www.meteoschweiz.admin.ch/service-und-publikationen/applikationen/messwerte-und-messnetze.html#param=messnetz-automatisch&amp;station=GOS</t>
  </si>
  <si>
    <t>https://www.meteosuisse.admin.ch/services-et-publications/applications/valeurs-mesurees-et-reseaux-de-mesure.html#param=messnetz-automatisch&amp;station=GOS</t>
  </si>
  <si>
    <t>https://www.meteosvizzera.admin.ch/servizi-e-pubblicazioni/applicazioni/valori-attuali-e-reti-di-misura.html#param=messnetz-automatisch&amp;station=GOS</t>
  </si>
  <si>
    <t>https://www.meteoswiss.admin.ch/services-and-publications/applications/measurement-values-and-measuring-networks.html#param=messnetz-automatisch&amp;station=GOS</t>
  </si>
  <si>
    <t>GRA</t>
  </si>
  <si>
    <t>Fribourg / Grangeneuve</t>
  </si>
  <si>
    <t>FR</t>
  </si>
  <si>
    <t>0-20000-0-06625</t>
  </si>
  <si>
    <t>https://www.meteoschweiz.admin.ch/service-und-publikationen/applikationen/messwerte-und-messnetze.html#param=messnetz-automatisch&amp;station=GRA</t>
  </si>
  <si>
    <t>https://www.meteosuisse.admin.ch/services-et-publications/applications/valeurs-mesurees-et-reseaux-de-mesure.html#param=messnetz-automatisch&amp;station=GRA</t>
  </si>
  <si>
    <t>https://www.meteosvizzera.admin.ch/servizi-e-pubblicazioni/applicazioni/valori-attuali-e-reti-di-misura.html#param=messnetz-automatisch&amp;station=GRA</t>
  </si>
  <si>
    <t>https://www.meteoswiss.admin.ch/services-and-publications/applications/measurement-values-and-measuring-networks.html#param=messnetz-automatisch&amp;station=GRA</t>
  </si>
  <si>
    <t>GRC</t>
  </si>
  <si>
    <t>Grächen</t>
  </si>
  <si>
    <t>0-20000-0-06728</t>
  </si>
  <si>
    <t>01.12.1863</t>
  </si>
  <si>
    <t>https://www.meteoschweiz.admin.ch/service-und-publikationen/applikationen/messwerte-und-messnetze.html#param=messnetz-automatisch&amp;station=GRC</t>
  </si>
  <si>
    <t>https://www.meteosuisse.admin.ch/services-et-publications/applications/valeurs-mesurees-et-reseaux-de-mesure.html#param=messnetz-automatisch&amp;station=GRC</t>
  </si>
  <si>
    <t>https://www.meteosvizzera.admin.ch/servizi-e-pubblicazioni/applicazioni/valori-attuali-e-reti-di-misura.html#param=messnetz-automatisch&amp;station=GRC</t>
  </si>
  <si>
    <t>https://www.meteoswiss.admin.ch/services-and-publications/applications/measurement-values-and-measuring-networks.html#param=messnetz-automatisch&amp;station=GRC</t>
  </si>
  <si>
    <t>GRE</t>
  </si>
  <si>
    <t>Grenchen</t>
  </si>
  <si>
    <t>0-20000-0-06632</t>
  </si>
  <si>
    <t>14.05.1992</t>
  </si>
  <si>
    <t>https://www.meteoschweiz.admin.ch/service-und-publikationen/applikationen/messwerte-und-messnetze.html#param=messnetz-automatisch&amp;station=GRE</t>
  </si>
  <si>
    <t>https://www.meteosuisse.admin.ch/services-et-publications/applications/valeurs-mesurees-et-reseaux-de-mesure.html#param=messnetz-automatisch&amp;station=GRE</t>
  </si>
  <si>
    <t>https://www.meteosvizzera.admin.ch/servizi-e-pubblicazioni/applicazioni/valori-attuali-e-reti-di-misura.html#param=messnetz-automatisch&amp;station=GRE</t>
  </si>
  <si>
    <t>https://www.meteoswiss.admin.ch/services-and-publications/applications/measurement-values-and-measuring-networks.html#param=messnetz-automatisch&amp;station=GRE</t>
  </si>
  <si>
    <t>GRH</t>
  </si>
  <si>
    <t>Grimsel Hospiz</t>
  </si>
  <si>
    <t>0-20000-0-06744</t>
  </si>
  <si>
    <t>01.01.1868</t>
  </si>
  <si>
    <t>https://www.meteoschweiz.admin.ch/service-und-publikationen/applikationen/messwerte-und-messnetze.html#param=messnetz-automatisch&amp;station=GRH</t>
  </si>
  <si>
    <t>https://www.meteosuisse.admin.ch/services-et-publications/applications/valeurs-mesurees-et-reseaux-de-mesure.html#param=messnetz-automatisch&amp;station=GRH</t>
  </si>
  <si>
    <t>https://www.meteosvizzera.admin.ch/servizi-e-pubblicazioni/applicazioni/valori-attuali-e-reti-di-misura.html#param=messnetz-automatisch&amp;station=GRH</t>
  </si>
  <si>
    <t>https://www.meteoswiss.admin.ch/services-and-publications/applications/measurement-values-and-measuring-networks.html#param=messnetz-automatisch&amp;station=GRH</t>
  </si>
  <si>
    <t>GRO</t>
  </si>
  <si>
    <t>Grono</t>
  </si>
  <si>
    <t>0-20000-0-06758</t>
  </si>
  <si>
    <t>https://www.meteoschweiz.admin.ch/service-und-publikationen/applikationen/messwerte-und-messnetze.html#param=messnetz-automatisch&amp;station=GRO</t>
  </si>
  <si>
    <t>https://www.meteosuisse.admin.ch/services-et-publications/applications/valeurs-mesurees-et-reseaux-de-mesure.html#param=messnetz-automatisch&amp;station=GRO</t>
  </si>
  <si>
    <t>https://www.meteosvizzera.admin.ch/servizi-e-pubblicazioni/applicazioni/valori-attuali-e-reti-di-misura.html#param=messnetz-automatisch&amp;station=GRO</t>
  </si>
  <si>
    <t>https://www.meteoswiss.admin.ch/services-and-publications/applications/measurement-values-and-measuring-networks.html#param=messnetz-automatisch&amp;station=GRO</t>
  </si>
  <si>
    <t>GSB</t>
  </si>
  <si>
    <t>Col du Grand St-Bernard</t>
  </si>
  <si>
    <t>0-20000-0-06717</t>
  </si>
  <si>
    <t>01.01.1818</t>
  </si>
  <si>
    <t>https://www.meteoschweiz.admin.ch/service-und-publikationen/applikationen/messwerte-und-messnetze.html#param=messnetz-automatisch&amp;station=GSB</t>
  </si>
  <si>
    <t>https://www.meteosuisse.admin.ch/services-et-publications/applications/valeurs-mesurees-et-reseaux-de-mesure.html#param=messnetz-automatisch&amp;station=GSB</t>
  </si>
  <si>
    <t>https://www.meteosvizzera.admin.ch/servizi-e-pubblicazioni/applicazioni/valori-attuali-e-reti-di-misura.html#param=messnetz-automatisch&amp;station=GSB</t>
  </si>
  <si>
    <t>https://www.meteoswiss.admin.ch/services-and-publications/applications/measurement-values-and-measuring-networks.html#param=messnetz-automatisch&amp;station=GSB</t>
  </si>
  <si>
    <t>GUE</t>
  </si>
  <si>
    <t>Gütsch, Andermatt</t>
  </si>
  <si>
    <t>0-20000-0-06750</t>
  </si>
  <si>
    <t>01.01.1954</t>
  </si>
  <si>
    <t>https://www.meteoschweiz.admin.ch/service-und-publikationen/applikationen/messwerte-und-messnetze.html#param=messnetz-automatisch&amp;station=GUE</t>
  </si>
  <si>
    <t>https://www.meteosuisse.admin.ch/services-et-publications/applications/valeurs-mesurees-et-reseaux-de-mesure.html#param=messnetz-automatisch&amp;station=GUE</t>
  </si>
  <si>
    <t>https://www.meteosvizzera.admin.ch/servizi-e-pubblicazioni/applicazioni/valori-attuali-e-reti-di-misura.html#param=messnetz-automatisch&amp;station=GUE</t>
  </si>
  <si>
    <t>https://www.meteoswiss.admin.ch/services-and-publications/applications/measurement-values-and-measuring-networks.html#param=messnetz-automatisch&amp;station=GUE</t>
  </si>
  <si>
    <t>GUT</t>
  </si>
  <si>
    <t>Güttingen</t>
  </si>
  <si>
    <t>0-20000-0-06621</t>
  </si>
  <si>
    <t>https://www.meteoschweiz.admin.ch/service-und-publikationen/applikationen/messwerte-und-messnetze.html#param=messnetz-automatisch&amp;station=GUT</t>
  </si>
  <si>
    <t>https://www.meteosuisse.admin.ch/services-et-publications/applications/valeurs-mesurees-et-reseaux-de-mesure.html#param=messnetz-automatisch&amp;station=GUT</t>
  </si>
  <si>
    <t>https://www.meteosvizzera.admin.ch/servizi-e-pubblicazioni/applicazioni/valori-attuali-e-reti-di-misura.html#param=messnetz-automatisch&amp;station=GUT</t>
  </si>
  <si>
    <t>https://www.meteoswiss.admin.ch/services-and-publications/applications/measurement-values-and-measuring-networks.html#param=messnetz-automatisch&amp;station=GUT</t>
  </si>
  <si>
    <t>GVE</t>
  </si>
  <si>
    <t>Genève / Cointrin</t>
  </si>
  <si>
    <t>GE</t>
  </si>
  <si>
    <t>0-20000-0-06700</t>
  </si>
  <si>
    <t>01.01.1753</t>
  </si>
  <si>
    <t>https://www.meteoschweiz.admin.ch/service-und-publikationen/applikationen/messwerte-und-messnetze.html#param=messnetz-automatisch&amp;station=GVE</t>
  </si>
  <si>
    <t>https://www.meteosuisse.admin.ch/services-et-publications/applications/valeurs-mesurees-et-reseaux-de-mesure.html#param=messnetz-automatisch&amp;station=GVE</t>
  </si>
  <si>
    <t>https://www.meteosvizzera.admin.ch/servizi-e-pubblicazioni/applicazioni/valori-attuali-e-reti-di-misura.html#param=messnetz-automatisch&amp;station=GVE</t>
  </si>
  <si>
    <t>https://www.meteoswiss.admin.ch/services-and-publications/applications/measurement-values-and-measuring-networks.html#param=messnetz-automatisch&amp;station=GVE</t>
  </si>
  <si>
    <t>HAI</t>
  </si>
  <si>
    <t>Salen-Reutenen</t>
  </si>
  <si>
    <t>0-20000-0-06623</t>
  </si>
  <si>
    <t>https://www.meteoschweiz.admin.ch/service-und-publikationen/applikationen/messwerte-und-messnetze.html#param=messnetz-automatisch&amp;station=HAI</t>
  </si>
  <si>
    <t>https://www.meteosuisse.admin.ch/services-et-publications/applications/valeurs-mesurees-et-reseaux-de-mesure.html#param=messnetz-automatisch&amp;station=HAI</t>
  </si>
  <si>
    <t>https://www.meteosvizzera.admin.ch/servizi-e-pubblicazioni/applicazioni/valori-attuali-e-reti-di-misura.html#param=messnetz-automatisch&amp;station=HAI</t>
  </si>
  <si>
    <t>https://www.meteoswiss.admin.ch/services-and-publications/applications/measurement-values-and-measuring-networks.html#param=messnetz-automatisch&amp;station=HAI</t>
  </si>
  <si>
    <t>HLL</t>
  </si>
  <si>
    <t>Hallau</t>
  </si>
  <si>
    <t>SH</t>
  </si>
  <si>
    <t>0-20000-0-06624</t>
  </si>
  <si>
    <t>01.07.1886</t>
  </si>
  <si>
    <t>https://www.meteoschweiz.admin.ch/service-und-publikationen/applikationen/messwerte-und-messnetze.html#param=messnetz-automatisch&amp;station=HLL</t>
  </si>
  <si>
    <t>https://www.meteosuisse.admin.ch/services-et-publications/applications/valeurs-mesurees-et-reseaux-de-mesure.html#param=messnetz-automatisch&amp;station=HLL</t>
  </si>
  <si>
    <t>https://www.meteosvizzera.admin.ch/servizi-e-pubblicazioni/applicazioni/valori-attuali-e-reti-di-misura.html#param=messnetz-automatisch&amp;station=HLL</t>
  </si>
  <si>
    <t>https://www.meteoswiss.admin.ch/services-and-publications/applications/measurement-values-and-measuring-networks.html#param=messnetz-automatisch&amp;station=HLL</t>
  </si>
  <si>
    <t>HOE</t>
  </si>
  <si>
    <t>Hörnli</t>
  </si>
  <si>
    <t>ZH</t>
  </si>
  <si>
    <t>0-20000-0-06689</t>
  </si>
  <si>
    <t>01.08.1974</t>
  </si>
  <si>
    <t>https://www.meteoschweiz.admin.ch/service-und-publikationen/applikationen/messwerte-und-messnetze.html#param=messnetz-automatisch&amp;station=HOE</t>
  </si>
  <si>
    <t>https://www.meteosuisse.admin.ch/services-et-publications/applications/valeurs-mesurees-et-reseaux-de-mesure.html#param=messnetz-automatisch&amp;station=HOE</t>
  </si>
  <si>
    <t>https://www.meteosvizzera.admin.ch/servizi-e-pubblicazioni/applicazioni/valori-attuali-e-reti-di-misura.html#param=messnetz-automatisch&amp;station=HOE</t>
  </si>
  <si>
    <t>https://www.meteoswiss.admin.ch/services-and-publications/applications/measurement-values-and-measuring-networks.html#param=messnetz-automatisch&amp;station=HOE</t>
  </si>
  <si>
    <t>ILZ</t>
  </si>
  <si>
    <t>Ilanz</t>
  </si>
  <si>
    <t>0-20000-0-06789</t>
  </si>
  <si>
    <t>https://www.meteoschweiz.admin.ch/service-und-publikationen/applikationen/messwerte-und-messnetze.html#param=messnetz-automatisch&amp;station=ILZ</t>
  </si>
  <si>
    <t>https://www.meteosuisse.admin.ch/services-et-publications/applications/valeurs-mesurees-et-reseaux-de-mesure.html#param=messnetz-automatisch&amp;station=ILZ</t>
  </si>
  <si>
    <t>https://www.meteosvizzera.admin.ch/servizi-e-pubblicazioni/applicazioni/valori-attuali-e-reti-di-misura.html#param=messnetz-automatisch&amp;station=ILZ</t>
  </si>
  <si>
    <t>https://www.meteoswiss.admin.ch/services-and-publications/applications/measurement-values-and-measuring-networks.html#param=messnetz-automatisch&amp;station=ILZ</t>
  </si>
  <si>
    <t>INT</t>
  </si>
  <si>
    <t>Interlaken</t>
  </si>
  <si>
    <t>0-20000-0-06734</t>
  </si>
  <si>
    <t>01.01.1894</t>
  </si>
  <si>
    <t>https://www.meteoschweiz.admin.ch/service-und-publikationen/applikationen/messwerte-und-messnetze.html#param=messnetz-automatisch&amp;station=INT</t>
  </si>
  <si>
    <t>https://www.meteosuisse.admin.ch/services-et-publications/applications/valeurs-mesurees-et-reseaux-de-mesure.html#param=messnetz-automatisch&amp;station=INT</t>
  </si>
  <si>
    <t>https://www.meteosvizzera.admin.ch/servizi-e-pubblicazioni/applicazioni/valori-attuali-e-reti-di-misura.html#param=messnetz-automatisch&amp;station=INT</t>
  </si>
  <si>
    <t>https://www.meteoswiss.admin.ch/services-and-publications/applications/measurement-values-and-measuring-networks.html#param=messnetz-automatisch&amp;station=INT</t>
  </si>
  <si>
    <t>JUN</t>
  </si>
  <si>
    <t>Jungfraujoch</t>
  </si>
  <si>
    <t>0-20000-0-06730</t>
  </si>
  <si>
    <t>01.01.1931</t>
  </si>
  <si>
    <t>https://www.meteoschweiz.admin.ch/service-und-publikationen/applikationen/messwerte-und-messnetze.html#param=messnetz-automatisch&amp;station=JUN</t>
  </si>
  <si>
    <t>https://www.meteosuisse.admin.ch/services-et-publications/applications/valeurs-mesurees-et-reseaux-de-mesure.html#param=messnetz-automatisch&amp;station=JUN</t>
  </si>
  <si>
    <t>https://www.meteosvizzera.admin.ch/servizi-e-pubblicazioni/applicazioni/valori-attuali-e-reti-di-misura.html#param=messnetz-automatisch&amp;station=JUN</t>
  </si>
  <si>
    <t>https://www.meteoswiss.admin.ch/services-and-publications/applications/measurement-values-and-measuring-networks.html#param=messnetz-automatisch&amp;station=JUN</t>
  </si>
  <si>
    <t>KLO</t>
  </si>
  <si>
    <t>Zürich / Kloten</t>
  </si>
  <si>
    <t>0-20000-0-06670</t>
  </si>
  <si>
    <t>01.01.1935</t>
  </si>
  <si>
    <t>https://www.meteoschweiz.admin.ch/service-und-publikationen/applikationen/messwerte-und-messnetze.html#param=messnetz-automatisch&amp;station=KLO</t>
  </si>
  <si>
    <t>https://www.meteosuisse.admin.ch/services-et-publications/applications/valeurs-mesurees-et-reseaux-de-mesure.html#param=messnetz-automatisch&amp;station=KLO</t>
  </si>
  <si>
    <t>https://www.meteosvizzera.admin.ch/servizi-e-pubblicazioni/applicazioni/valori-attuali-e-reti-di-misura.html#param=messnetz-automatisch&amp;station=KLO</t>
  </si>
  <si>
    <t>https://www.meteoswiss.admin.ch/services-and-publications/applications/measurement-values-and-measuring-networks.html#param=messnetz-automatisch&amp;station=KLO</t>
  </si>
  <si>
    <t>KOP</t>
  </si>
  <si>
    <t>Koppigen</t>
  </si>
  <si>
    <t>0-20000-0-06635</t>
  </si>
  <si>
    <t>01.11.1960</t>
  </si>
  <si>
    <t>https://www.meteoschweiz.admin.ch/service-und-publikationen/applikationen/messwerte-und-messnetze.html#param=messnetz-automatisch&amp;station=KOP</t>
  </si>
  <si>
    <t>https://www.meteosuisse.admin.ch/services-et-publications/applications/valeurs-mesurees-et-reseaux-de-mesure.html#param=messnetz-automatisch&amp;station=KOP</t>
  </si>
  <si>
    <t>https://www.meteosvizzera.admin.ch/servizi-e-pubblicazioni/applicazioni/valori-attuali-e-reti-di-misura.html#param=messnetz-automatisch&amp;station=KOP</t>
  </si>
  <si>
    <t>https://www.meteoswiss.admin.ch/services-and-publications/applications/measurement-values-and-measuring-networks.html#param=messnetz-automatisch&amp;station=KOP</t>
  </si>
  <si>
    <t>LAC</t>
  </si>
  <si>
    <t>Lachen / Galgenen</t>
  </si>
  <si>
    <t>0-20000-0-06665</t>
  </si>
  <si>
    <t>01.10.1882</t>
  </si>
  <si>
    <t>https://www.meteoschweiz.admin.ch/service-und-publikationen/applikationen/messwerte-und-messnetze.html#param=messnetz-automatisch&amp;station=LAC</t>
  </si>
  <si>
    <t>https://www.meteosuisse.admin.ch/services-et-publications/applications/valeurs-mesurees-et-reseaux-de-mesure.html#param=messnetz-automatisch&amp;station=LAC</t>
  </si>
  <si>
    <t>https://www.meteosvizzera.admin.ch/servizi-e-pubblicazioni/applicazioni/valori-attuali-e-reti-di-misura.html#param=messnetz-automatisch&amp;station=LAC</t>
  </si>
  <si>
    <t>https://www.meteoswiss.admin.ch/services-and-publications/applications/measurement-values-and-measuring-networks.html#param=messnetz-automatisch&amp;station=LAC</t>
  </si>
  <si>
    <t>LAE</t>
  </si>
  <si>
    <t>Lägern</t>
  </si>
  <si>
    <t>0-20000-0-06669</t>
  </si>
  <si>
    <t>21.11.1989</t>
  </si>
  <si>
    <t>https://www.meteoschweiz.admin.ch/service-und-publikationen/applikationen/messwerte-und-messnetze.html#param=messnetz-automatisch&amp;station=LAE</t>
  </si>
  <si>
    <t>https://www.meteosuisse.admin.ch/services-et-publications/applications/valeurs-mesurees-et-reseaux-de-mesure.html#param=messnetz-automatisch&amp;station=LAE</t>
  </si>
  <si>
    <t>https://www.meteosvizzera.admin.ch/servizi-e-pubblicazioni/applicazioni/valori-attuali-e-reti-di-misura.html#param=messnetz-automatisch&amp;station=LAE</t>
  </si>
  <si>
    <t>https://www.meteoswiss.admin.ch/services-and-publications/applications/measurement-values-and-measuring-networks.html#param=messnetz-automatisch&amp;station=LAE</t>
  </si>
  <si>
    <t>LAG</t>
  </si>
  <si>
    <t>Langnau i.E.</t>
  </si>
  <si>
    <t>0-20000-0-06638</t>
  </si>
  <si>
    <t>https://www.meteoschweiz.admin.ch/service-und-publikationen/applikationen/messwerte-und-messnetze.html#param=messnetz-automatisch&amp;station=LAG</t>
  </si>
  <si>
    <t>https://www.meteosuisse.admin.ch/services-et-publications/applications/valeurs-mesurees-et-reseaux-de-mesure.html#param=messnetz-automatisch&amp;station=LAG</t>
  </si>
  <si>
    <t>https://www.meteosvizzera.admin.ch/servizi-e-pubblicazioni/applicazioni/valori-attuali-e-reti-di-misura.html#param=messnetz-automatisch&amp;station=LAG</t>
  </si>
  <si>
    <t>https://www.meteoswiss.admin.ch/services-and-publications/applications/measurement-values-and-measuring-networks.html#param=messnetz-automatisch&amp;station=LAG</t>
  </si>
  <si>
    <t>LAT</t>
  </si>
  <si>
    <t>Bergün / Latsch</t>
  </si>
  <si>
    <t>0-20000-0-06642</t>
  </si>
  <si>
    <t>https://www.meteoschweiz.admin.ch/service-und-publikationen/applikationen/messwerte-und-messnetze.html#param=messnetz-automatisch&amp;station=LAT</t>
  </si>
  <si>
    <t>https://www.meteosuisse.admin.ch/services-et-publications/applications/valeurs-mesurees-et-reseaux-de-mesure.html#param=messnetz-automatisch&amp;station=LAT</t>
  </si>
  <si>
    <t>https://www.meteosvizzera.admin.ch/servizi-e-pubblicazioni/applicazioni/valori-attuali-e-reti-di-misura.html#param=messnetz-automatisch&amp;station=LAT</t>
  </si>
  <si>
    <t>https://www.meteoswiss.admin.ch/services-and-publications/applications/measurement-values-and-measuring-networks.html#param=messnetz-automatisch&amp;station=LAT</t>
  </si>
  <si>
    <t>LEI</t>
  </si>
  <si>
    <t>Leibstadt</t>
  </si>
  <si>
    <t>0-20000-0-06666</t>
  </si>
  <si>
    <t>15.02.1984</t>
  </si>
  <si>
    <t>https://www.meteoschweiz.admin.ch/service-und-publikationen/applikationen/messwerte-und-messnetze.html#param=messnetz-automatisch&amp;station=LEI</t>
  </si>
  <si>
    <t>https://www.meteosuisse.admin.ch/services-et-publications/applications/valeurs-mesurees-et-reseaux-de-mesure.html#param=messnetz-automatisch&amp;station=LEI</t>
  </si>
  <si>
    <t>https://www.meteosvizzera.admin.ch/servizi-e-pubblicazioni/applicazioni/valori-attuali-e-reti-di-misura.html#param=messnetz-automatisch&amp;station=LEI</t>
  </si>
  <si>
    <t>https://www.meteoswiss.admin.ch/services-and-publications/applications/measurement-values-and-measuring-networks.html#param=messnetz-automatisch&amp;station=LEI</t>
  </si>
  <si>
    <t>LUG</t>
  </si>
  <si>
    <t>Lugano</t>
  </si>
  <si>
    <t>0-20000-0-06770</t>
  </si>
  <si>
    <t>https://www.meteoschweiz.admin.ch/service-und-publikationen/applikationen/messwerte-und-messnetze.html#param=messnetz-automatisch&amp;station=LUG</t>
  </si>
  <si>
    <t>https://www.meteosuisse.admin.ch/services-et-publications/applications/valeurs-mesurees-et-reseaux-de-mesure.html#param=messnetz-automatisch&amp;station=LUG</t>
  </si>
  <si>
    <t>https://www.meteosvizzera.admin.ch/servizi-e-pubblicazioni/applicazioni/valori-attuali-e-reti-di-misura.html#param=messnetz-automatisch&amp;station=LUG</t>
  </si>
  <si>
    <t>https://www.meteoswiss.admin.ch/services-and-publications/applications/measurement-values-and-measuring-networks.html#param=messnetz-automatisch&amp;station=LUG</t>
  </si>
  <si>
    <t>LUZ</t>
  </si>
  <si>
    <t>Luzern</t>
  </si>
  <si>
    <t>0-20000-0-06650</t>
  </si>
  <si>
    <t>https://www.meteoschweiz.admin.ch/service-und-publikationen/applikationen/messwerte-und-messnetze.html#param=messnetz-automatisch&amp;station=LUZ</t>
  </si>
  <si>
    <t>https://www.meteosuisse.admin.ch/services-et-publications/applications/valeurs-mesurees-et-reseaux-de-mesure.html#param=messnetz-automatisch&amp;station=LUZ</t>
  </si>
  <si>
    <t>https://www.meteosvizzera.admin.ch/servizi-e-pubblicazioni/applicazioni/valori-attuali-e-reti-di-misura.html#param=messnetz-automatisch&amp;station=LUZ</t>
  </si>
  <si>
    <t>https://www.meteoswiss.admin.ch/services-and-publications/applications/measurement-values-and-measuring-networks.html#param=messnetz-automatisch&amp;station=LUZ</t>
  </si>
  <si>
    <t>MAG</t>
  </si>
  <si>
    <t>Magadino / Cadenazzo</t>
  </si>
  <si>
    <t>0-20000-0-06762</t>
  </si>
  <si>
    <t>01.06.1953</t>
  </si>
  <si>
    <t>https://www.meteoschweiz.admin.ch/service-und-publikationen/applikationen/messwerte-und-messnetze.html#param=messnetz-automatisch&amp;station=MAG</t>
  </si>
  <si>
    <t>https://www.meteosuisse.admin.ch/services-et-publications/applications/valeurs-mesurees-et-reseaux-de-mesure.html#param=messnetz-automatisch&amp;station=MAG</t>
  </si>
  <si>
    <t>https://www.meteosvizzera.admin.ch/servizi-e-pubblicazioni/applicazioni/valori-attuali-e-reti-di-misura.html#param=messnetz-automatisch&amp;station=MAG</t>
  </si>
  <si>
    <t>https://www.meteoswiss.admin.ch/services-and-publications/applications/measurement-values-and-measuring-networks.html#param=messnetz-automatisch&amp;station=MAG</t>
  </si>
  <si>
    <t>MAH</t>
  </si>
  <si>
    <t>Mathod</t>
  </si>
  <si>
    <t>0-20000-0-06618</t>
  </si>
  <si>
    <t>06.08.1992</t>
  </si>
  <si>
    <t>https://www.meteoschweiz.admin.ch/service-und-publikationen/applikationen/messwerte-und-messnetze.html#param=messnetz-automatisch&amp;station=MAH</t>
  </si>
  <si>
    <t>https://www.meteosuisse.admin.ch/services-et-publications/applications/valeurs-mesurees-et-reseaux-de-mesure.html#param=messnetz-automatisch&amp;station=MAH</t>
  </si>
  <si>
    <t>https://www.meteosvizzera.admin.ch/servizi-e-pubblicazioni/applicazioni/valori-attuali-e-reti-di-misura.html#param=messnetz-automatisch&amp;station=MAH</t>
  </si>
  <si>
    <t>https://www.meteoswiss.admin.ch/services-and-publications/applications/measurement-values-and-measuring-networks.html#param=messnetz-automatisch&amp;station=MAH</t>
  </si>
  <si>
    <t>MAR</t>
  </si>
  <si>
    <t>Les Marécottes</t>
  </si>
  <si>
    <t>0-20000-0-06614</t>
  </si>
  <si>
    <t>https://www.meteoschweiz.admin.ch/service-und-publikationen/applikationen/messwerte-und-messnetze.html#param=messnetz-automatisch&amp;station=MAR</t>
  </si>
  <si>
    <t>https://www.meteosuisse.admin.ch/services-et-publications/applications/valeurs-mesurees-et-reseaux-de-mesure.html#param=messnetz-automatisch&amp;station=MAR</t>
  </si>
  <si>
    <t>https://www.meteosvizzera.admin.ch/servizi-e-pubblicazioni/applicazioni/valori-attuali-e-reti-di-misura.html#param=messnetz-automatisch&amp;station=MAR</t>
  </si>
  <si>
    <t>https://www.meteoswiss.admin.ch/services-and-publications/applications/measurement-values-and-measuring-networks.html#param=messnetz-automatisch&amp;station=MAR</t>
  </si>
  <si>
    <t>MAS</t>
  </si>
  <si>
    <t>Marsens</t>
  </si>
  <si>
    <t>0-20000-0-06640</t>
  </si>
  <si>
    <t>https://www.meteoschweiz.admin.ch/service-und-publikationen/applikationen/messwerte-und-messnetze.html#param=messnetz-automatisch&amp;station=MAS</t>
  </si>
  <si>
    <t>https://www.meteosuisse.admin.ch/services-et-publications/applications/valeurs-mesurees-et-reseaux-de-mesure.html#param=messnetz-automatisch&amp;station=MAS</t>
  </si>
  <si>
    <t>https://www.meteosvizzera.admin.ch/servizi-e-pubblicazioni/applicazioni/valori-attuali-e-reti-di-misura.html#param=messnetz-automatisch&amp;station=MAS</t>
  </si>
  <si>
    <t>https://www.meteoswiss.admin.ch/services-and-publications/applications/measurement-values-and-measuring-networks.html#param=messnetz-automatisch&amp;station=MAS</t>
  </si>
  <si>
    <t>MER</t>
  </si>
  <si>
    <t>Meiringen</t>
  </si>
  <si>
    <t>0-20000-0-06637</t>
  </si>
  <si>
    <t>01.07.1889</t>
  </si>
  <si>
    <t>https://www.meteoschweiz.admin.ch/service-und-publikationen/applikationen/messwerte-und-messnetze.html#param=messnetz-automatisch&amp;station=MER</t>
  </si>
  <si>
    <t>https://www.meteosuisse.admin.ch/services-et-publications/applications/valeurs-mesurees-et-reseaux-de-mesure.html#param=messnetz-automatisch&amp;station=MER</t>
  </si>
  <si>
    <t>https://www.meteosvizzera.admin.ch/servizi-e-pubblicazioni/applicazioni/valori-attuali-e-reti-di-misura.html#param=messnetz-automatisch&amp;station=MER</t>
  </si>
  <si>
    <t>https://www.meteoswiss.admin.ch/services-and-publications/applications/measurement-values-and-measuring-networks.html#param=messnetz-automatisch&amp;station=MER</t>
  </si>
  <si>
    <t>MLS</t>
  </si>
  <si>
    <t>Le Moléson</t>
  </si>
  <si>
    <t>0-20000-0-06609</t>
  </si>
  <si>
    <t>21.09.1982</t>
  </si>
  <si>
    <t>https://www.meteoschweiz.admin.ch/service-und-publikationen/applikationen/messwerte-und-messnetze.html#param=messnetz-automatisch&amp;station=MLS</t>
  </si>
  <si>
    <t>https://www.meteosuisse.admin.ch/services-et-publications/applications/valeurs-mesurees-et-reseaux-de-mesure.html#param=messnetz-automatisch&amp;station=MLS</t>
  </si>
  <si>
    <t>https://www.meteosvizzera.admin.ch/servizi-e-pubblicazioni/applicazioni/valori-attuali-e-reti-di-misura.html#param=messnetz-automatisch&amp;station=MLS</t>
  </si>
  <si>
    <t>https://www.meteoswiss.admin.ch/services-and-publications/applications/measurement-values-and-measuring-networks.html#param=messnetz-automatisch&amp;station=MLS</t>
  </si>
  <si>
    <t>MOA</t>
  </si>
  <si>
    <t>Mosen</t>
  </si>
  <si>
    <t>0-20000-0-06644</t>
  </si>
  <si>
    <t>https://www.meteoschweiz.admin.ch/service-und-publikationen/applikationen/messwerte-und-messnetze.html#param=messnetz-automatisch&amp;station=MOA</t>
  </si>
  <si>
    <t>https://www.meteosuisse.admin.ch/services-et-publications/applications/valeurs-mesurees-et-reseaux-de-mesure.html#param=messnetz-automatisch&amp;station=MOA</t>
  </si>
  <si>
    <t>https://www.meteosvizzera.admin.ch/servizi-e-pubblicazioni/applicazioni/valori-attuali-e-reti-di-misura.html#param=messnetz-automatisch&amp;station=MOA</t>
  </si>
  <si>
    <t>https://www.meteoswiss.admin.ch/services-and-publications/applications/measurement-values-and-measuring-networks.html#param=messnetz-automatisch&amp;station=MOA</t>
  </si>
  <si>
    <t>MOB</t>
  </si>
  <si>
    <t>Montagnier, Bagnes</t>
  </si>
  <si>
    <t>0-20000-0-06615</t>
  </si>
  <si>
    <t>01.03.1906</t>
  </si>
  <si>
    <t>https://www.meteoschweiz.admin.ch/service-und-publikationen/applikationen/messwerte-und-messnetze.html#param=messnetz-automatisch&amp;station=MOB</t>
  </si>
  <si>
    <t>https://www.meteosuisse.admin.ch/services-et-publications/applications/valeurs-mesurees-et-reseaux-de-mesure.html#param=messnetz-automatisch&amp;station=MOB</t>
  </si>
  <si>
    <t>https://www.meteosvizzera.admin.ch/servizi-e-pubblicazioni/applicazioni/valori-attuali-e-reti-di-misura.html#param=messnetz-automatisch&amp;station=MOB</t>
  </si>
  <si>
    <t>https://www.meteoswiss.admin.ch/services-and-publications/applications/measurement-values-and-measuring-networks.html#param=messnetz-automatisch&amp;station=MOB</t>
  </si>
  <si>
    <t>MOE</t>
  </si>
  <si>
    <t>Möhlin</t>
  </si>
  <si>
    <t>0-20000-0-06641</t>
  </si>
  <si>
    <t>https://www.meteoschweiz.admin.ch/service-und-publikationen/applikationen/messwerte-und-messnetze.html#param=messnetz-automatisch&amp;station=MOE</t>
  </si>
  <si>
    <t>https://www.meteosuisse.admin.ch/services-et-publications/applications/valeurs-mesurees-et-reseaux-de-mesure.html#param=messnetz-automatisch&amp;station=MOE</t>
  </si>
  <si>
    <t>https://www.meteosvizzera.admin.ch/servizi-e-pubblicazioni/applicazioni/valori-attuali-e-reti-di-misura.html#param=messnetz-automatisch&amp;station=MOE</t>
  </si>
  <si>
    <t>https://www.meteoswiss.admin.ch/services-and-publications/applications/measurement-values-and-measuring-networks.html#param=messnetz-automatisch&amp;station=MOE</t>
  </si>
  <si>
    <t>MTE</t>
  </si>
  <si>
    <t>Mottec</t>
  </si>
  <si>
    <t>0-20000-0-06716</t>
  </si>
  <si>
    <t>https://www.meteoschweiz.admin.ch/service-und-publikationen/applikationen/messwerte-und-messnetze.html#param=messnetz-automatisch&amp;station=MTE</t>
  </si>
  <si>
    <t>https://www.meteosuisse.admin.ch/services-et-publications/applications/valeurs-mesurees-et-reseaux-de-mesure.html#param=messnetz-automatisch&amp;station=MTE</t>
  </si>
  <si>
    <t>https://www.meteosvizzera.admin.ch/servizi-e-pubblicazioni/applicazioni/valori-attuali-e-reti-di-misura.html#param=messnetz-automatisch&amp;station=MTE</t>
  </si>
  <si>
    <t>https://www.meteoswiss.admin.ch/services-and-publications/applications/measurement-values-and-measuring-networks.html#param=messnetz-automatisch&amp;station=MTE</t>
  </si>
  <si>
    <t>MTR</t>
  </si>
  <si>
    <t>Matro</t>
  </si>
  <si>
    <t>0-20000-0-06754</t>
  </si>
  <si>
    <t>09.12.1992</t>
  </si>
  <si>
    <t>https://www.meteoschweiz.admin.ch/service-und-publikationen/applikationen/messwerte-und-messnetze.html#param=messnetz-automatisch&amp;station=MTR</t>
  </si>
  <si>
    <t>https://www.meteosuisse.admin.ch/services-et-publications/applications/valeurs-mesurees-et-reseaux-de-mesure.html#param=messnetz-automatisch&amp;station=MTR</t>
  </si>
  <si>
    <t>https://www.meteosvizzera.admin.ch/servizi-e-pubblicazioni/applicazioni/valori-attuali-e-reti-di-misura.html#param=messnetz-automatisch&amp;station=MTR</t>
  </si>
  <si>
    <t>https://www.meteoswiss.admin.ch/services-and-publications/applications/measurement-values-and-measuring-networks.html#param=messnetz-automatisch&amp;station=MTR</t>
  </si>
  <si>
    <t>MUB</t>
  </si>
  <si>
    <t>Mühleberg</t>
  </si>
  <si>
    <t>0-20000-0-06636</t>
  </si>
  <si>
    <t>01.01.1981</t>
  </si>
  <si>
    <t>https://www.meteoschweiz.admin.ch/service-und-publikationen/applikationen/messwerte-und-messnetze.html#param=messnetz-automatisch&amp;station=MUB</t>
  </si>
  <si>
    <t>https://www.meteosuisse.admin.ch/services-et-publications/applications/valeurs-mesurees-et-reseaux-de-mesure.html#param=messnetz-automatisch&amp;station=MUB</t>
  </si>
  <si>
    <t>https://www.meteosvizzera.admin.ch/servizi-e-pubblicazioni/applicazioni/valori-attuali-e-reti-di-misura.html#param=messnetz-automatisch&amp;station=MUB</t>
  </si>
  <si>
    <t>https://www.meteoswiss.admin.ch/services-and-publications/applications/measurement-values-and-measuring-networks.html#param=messnetz-automatisch&amp;station=MUB</t>
  </si>
  <si>
    <t>MVE</t>
  </si>
  <si>
    <t>Montana</t>
  </si>
  <si>
    <t>0-20000-0-06724</t>
  </si>
  <si>
    <t>01.01.1926</t>
  </si>
  <si>
    <t>https://www.meteoschweiz.admin.ch/service-und-publikationen/applikationen/messwerte-und-messnetze.html#param=messnetz-automatisch&amp;station=MVE</t>
  </si>
  <si>
    <t>https://www.meteosuisse.admin.ch/services-et-publications/applications/valeurs-mesurees-et-reseaux-de-mesure.html#param=messnetz-automatisch&amp;station=MVE</t>
  </si>
  <si>
    <t>https://www.meteosvizzera.admin.ch/servizi-e-pubblicazioni/applicazioni/valori-attuali-e-reti-di-misura.html#param=messnetz-automatisch&amp;station=MVE</t>
  </si>
  <si>
    <t>https://www.meteoswiss.admin.ch/services-and-publications/applications/measurement-values-and-measuring-networks.html#param=messnetz-automatisch&amp;station=MVE</t>
  </si>
  <si>
    <t>NAP</t>
  </si>
  <si>
    <t>Napf</t>
  </si>
  <si>
    <t>0-20000-0-06639</t>
  </si>
  <si>
    <t>https://www.meteoschweiz.admin.ch/service-und-publikationen/applikationen/messwerte-und-messnetze.html#param=messnetz-automatisch&amp;station=NAP</t>
  </si>
  <si>
    <t>https://www.meteosuisse.admin.ch/services-et-publications/applications/valeurs-mesurees-et-reseaux-de-mesure.html#param=messnetz-automatisch&amp;station=NAP</t>
  </si>
  <si>
    <t>https://www.meteosvizzera.admin.ch/servizi-e-pubblicazioni/applicazioni/valori-attuali-e-reti-di-misura.html#param=messnetz-automatisch&amp;station=NAP</t>
  </si>
  <si>
    <t>https://www.meteoswiss.admin.ch/services-and-publications/applications/measurement-values-and-measuring-networks.html#param=messnetz-automatisch&amp;station=NAP</t>
  </si>
  <si>
    <t>NAS</t>
  </si>
  <si>
    <t>Naluns / Schlivera</t>
  </si>
  <si>
    <t>0-20000-0-06799</t>
  </si>
  <si>
    <t>06.11.1992</t>
  </si>
  <si>
    <t>https://www.meteoschweiz.admin.ch/service-und-publikationen/applikationen/messwerte-und-messnetze.html#param=messnetz-automatisch&amp;station=NAS</t>
  </si>
  <si>
    <t>https://www.meteosuisse.admin.ch/services-et-publications/applications/valeurs-mesurees-et-reseaux-de-mesure.html#param=messnetz-automatisch&amp;station=NAS</t>
  </si>
  <si>
    <t>https://www.meteosvizzera.admin.ch/servizi-e-pubblicazioni/applicazioni/valori-attuali-e-reti-di-misura.html#param=messnetz-automatisch&amp;station=NAS</t>
  </si>
  <si>
    <t>https://www.meteoswiss.admin.ch/services-and-publications/applications/measurement-values-and-measuring-networks.html#param=messnetz-automatisch&amp;station=NAS</t>
  </si>
  <si>
    <t>NEU</t>
  </si>
  <si>
    <t>Neuchâtel</t>
  </si>
  <si>
    <t>0-20000-0-06604</t>
  </si>
  <si>
    <t>https://www.meteoschweiz.admin.ch/service-und-publikationen/applikationen/messwerte-und-messnetze.html#param=messnetz-automatisch&amp;station=NEU</t>
  </si>
  <si>
    <t>https://www.meteosuisse.admin.ch/services-et-publications/applications/valeurs-mesurees-et-reseaux-de-mesure.html#param=messnetz-automatisch&amp;station=NEU</t>
  </si>
  <si>
    <t>https://www.meteosvizzera.admin.ch/servizi-e-pubblicazioni/applicazioni/valori-attuali-e-reti-di-misura.html#param=messnetz-automatisch&amp;station=NEU</t>
  </si>
  <si>
    <t>https://www.meteoswiss.admin.ch/services-and-publications/applications/measurement-values-and-measuring-networks.html#param=messnetz-automatisch&amp;station=NEU</t>
  </si>
  <si>
    <t>OBR</t>
  </si>
  <si>
    <t>Oberriet / Kriessern</t>
  </si>
  <si>
    <t>0-20000-0-06649</t>
  </si>
  <si>
    <t>27.08.2014</t>
  </si>
  <si>
    <t>https://www.meteoschweiz.admin.ch/service-und-publikationen/applikationen/messwerte-und-messnetze.html#param=messnetz-automatisch&amp;station=OBR</t>
  </si>
  <si>
    <t>https://www.meteosuisse.admin.ch/services-et-publications/applications/valeurs-mesurees-et-reseaux-de-mesure.html#param=messnetz-automatisch&amp;station=OBR</t>
  </si>
  <si>
    <t>https://www.meteosvizzera.admin.ch/servizi-e-pubblicazioni/applicazioni/valori-attuali-e-reti-di-misura.html#param=messnetz-automatisch&amp;station=OBR</t>
  </si>
  <si>
    <t>https://www.meteoswiss.admin.ch/services-and-publications/applications/measurement-values-and-measuring-networks.html#param=messnetz-automatisch&amp;station=OBR</t>
  </si>
  <si>
    <t>ORO</t>
  </si>
  <si>
    <t>Oron</t>
  </si>
  <si>
    <t>0-20000-0-06708</t>
  </si>
  <si>
    <t>https://www.meteoschweiz.admin.ch/service-und-publikationen/applikationen/messwerte-und-messnetze.html#param=messnetz-automatisch&amp;station=ORO</t>
  </si>
  <si>
    <t>https://www.meteosuisse.admin.ch/services-et-publications/applications/valeurs-mesurees-et-reseaux-de-mesure.html#param=messnetz-automatisch&amp;station=ORO</t>
  </si>
  <si>
    <t>https://www.meteosvizzera.admin.ch/servizi-e-pubblicazioni/applicazioni/valori-attuali-e-reti-di-misura.html#param=messnetz-automatisch&amp;station=ORO</t>
  </si>
  <si>
    <t>https://www.meteoswiss.admin.ch/services-and-publications/applications/measurement-values-and-measuring-networks.html#param=messnetz-automatisch&amp;station=ORO</t>
  </si>
  <si>
    <t>OTL</t>
  </si>
  <si>
    <t>Locarno / Monti</t>
  </si>
  <si>
    <t>0-20000-0-06760</t>
  </si>
  <si>
    <t>https://www.meteoschweiz.admin.ch/service-und-publikationen/applikationen/messwerte-und-messnetze.html#param=messnetz-automatisch&amp;station=OTL</t>
  </si>
  <si>
    <t>https://www.meteosuisse.admin.ch/services-et-publications/applications/valeurs-mesurees-et-reseaux-de-mesure.html#param=messnetz-automatisch&amp;station=OTL</t>
  </si>
  <si>
    <t>https://www.meteosvizzera.admin.ch/servizi-e-pubblicazioni/applicazioni/valori-attuali-e-reti-di-misura.html#param=messnetz-automatisch&amp;station=OTL</t>
  </si>
  <si>
    <t>https://www.meteoswiss.admin.ch/services-and-publications/applications/measurement-values-and-measuring-networks.html#param=messnetz-automatisch&amp;station=OTL</t>
  </si>
  <si>
    <t>PAY</t>
  </si>
  <si>
    <t>Payerne</t>
  </si>
  <si>
    <t>0-20000-0-06610</t>
  </si>
  <si>
    <t>01.08.1964</t>
  </si>
  <si>
    <t>https://www.meteoschweiz.admin.ch/service-und-publikationen/applikationen/messwerte-und-messnetze.html#param=messnetz-automatisch&amp;station=PAY</t>
  </si>
  <si>
    <t>https://www.meteosuisse.admin.ch/services-et-publications/applications/valeurs-mesurees-et-reseaux-de-mesure.html#param=messnetz-automatisch&amp;station=PAY</t>
  </si>
  <si>
    <t>https://www.meteosvizzera.admin.ch/servizi-e-pubblicazioni/applicazioni/valori-attuali-e-reti-di-misura.html#param=messnetz-automatisch&amp;station=PAY</t>
  </si>
  <si>
    <t>https://www.meteoswiss.admin.ch/services-and-publications/applications/measurement-values-and-measuring-networks.html#param=messnetz-automatisch&amp;station=PAY</t>
  </si>
  <si>
    <t>PFA</t>
  </si>
  <si>
    <t>Pfäffikon, ZH</t>
  </si>
  <si>
    <t>0-756-0-PFA</t>
  </si>
  <si>
    <t>https://www.meteoschweiz.admin.ch/service-und-publikationen/applikationen/messwerte-und-messnetze.html#param=messnetz-automatisch&amp;station=PFA</t>
  </si>
  <si>
    <t>https://www.meteosuisse.admin.ch/services-et-publications/applications/valeurs-mesurees-et-reseaux-de-mesure.html#param=messnetz-automatisch&amp;station=PFA</t>
  </si>
  <si>
    <t>https://www.meteosvizzera.admin.ch/servizi-e-pubblicazioni/applicazioni/valori-attuali-e-reti-di-misura.html#param=messnetz-automatisch&amp;station=PFA</t>
  </si>
  <si>
    <t>https://www.meteoswiss.admin.ch/services-and-publications/applications/measurement-values-and-measuring-networks.html#param=messnetz-automatisch&amp;station=PFA</t>
  </si>
  <si>
    <t>PIL</t>
  </si>
  <si>
    <t>Pilatus</t>
  </si>
  <si>
    <t>0-20000-0-06659</t>
  </si>
  <si>
    <t>https://www.meteoschweiz.admin.ch/service-und-publikationen/applikationen/messwerte-und-messnetze.html#param=messnetz-automatisch&amp;station=PIL</t>
  </si>
  <si>
    <t>https://www.meteosuisse.admin.ch/services-et-publications/applications/valeurs-mesurees-et-reseaux-de-mesure.html#param=messnetz-automatisch&amp;station=PIL</t>
  </si>
  <si>
    <t>https://www.meteosvizzera.admin.ch/servizi-e-pubblicazioni/applicazioni/valori-attuali-e-reti-di-misura.html#param=messnetz-automatisch&amp;station=PIL</t>
  </si>
  <si>
    <t>https://www.meteoswiss.admin.ch/services-and-publications/applications/measurement-values-and-measuring-networks.html#param=messnetz-automatisch&amp;station=PIL</t>
  </si>
  <si>
    <t>PIO</t>
  </si>
  <si>
    <t>Piotta</t>
  </si>
  <si>
    <t>0-20000-0-06753</t>
  </si>
  <si>
    <t>https://www.meteoschweiz.admin.ch/service-und-publikationen/applikationen/messwerte-und-messnetze.html#param=messnetz-automatisch&amp;station=PIO</t>
  </si>
  <si>
    <t>https://www.meteosuisse.admin.ch/services-et-publications/applications/valeurs-mesurees-et-reseaux-de-mesure.html#param=messnetz-automatisch&amp;station=PIO</t>
  </si>
  <si>
    <t>https://www.meteosvizzera.admin.ch/servizi-e-pubblicazioni/applicazioni/valori-attuali-e-reti-di-misura.html#param=messnetz-automatisch&amp;station=PIO</t>
  </si>
  <si>
    <t>https://www.meteoswiss.admin.ch/services-and-publications/applications/measurement-values-and-measuring-networks.html#param=messnetz-automatisch&amp;station=PIO</t>
  </si>
  <si>
    <t>PLF</t>
  </si>
  <si>
    <t>Plaffeien</t>
  </si>
  <si>
    <t>0-20000-0-06628</t>
  </si>
  <si>
    <t>https://www.meteoschweiz.admin.ch/service-und-publikationen/applikationen/messwerte-und-messnetze.html#param=messnetz-automatisch&amp;station=PLF</t>
  </si>
  <si>
    <t>https://www.meteosuisse.admin.ch/services-et-publications/applications/valeurs-mesurees-et-reseaux-de-mesure.html#param=messnetz-automatisch&amp;station=PLF</t>
  </si>
  <si>
    <t>https://www.meteosvizzera.admin.ch/servizi-e-pubblicazioni/applicazioni/valori-attuali-e-reti-di-misura.html#param=messnetz-automatisch&amp;station=PLF</t>
  </si>
  <si>
    <t>https://www.meteoswiss.admin.ch/services-and-publications/applications/measurement-values-and-measuring-networks.html#param=messnetz-automatisch&amp;station=PLF</t>
  </si>
  <si>
    <t>PMA</t>
  </si>
  <si>
    <t>Piz Martegnas</t>
  </si>
  <si>
    <t>0-20000-0-06795</t>
  </si>
  <si>
    <t>28.10.1993</t>
  </si>
  <si>
    <t>https://www.meteoschweiz.admin.ch/service-und-publikationen/applikationen/messwerte-und-messnetze.html#param=messnetz-automatisch&amp;station=PMA</t>
  </si>
  <si>
    <t>https://www.meteosuisse.admin.ch/services-et-publications/applications/valeurs-mesurees-et-reseaux-de-mesure.html#param=messnetz-automatisch&amp;station=PMA</t>
  </si>
  <si>
    <t>https://www.meteosvizzera.admin.ch/servizi-e-pubblicazioni/applicazioni/valori-attuali-e-reti-di-misura.html#param=messnetz-automatisch&amp;station=PMA</t>
  </si>
  <si>
    <t>https://www.meteoswiss.admin.ch/services-and-publications/applications/measurement-values-and-measuring-networks.html#param=messnetz-automatisch&amp;station=PMA</t>
  </si>
  <si>
    <t>PRE</t>
  </si>
  <si>
    <t>St-Prex</t>
  </si>
  <si>
    <t>0-20000-0-06706</t>
  </si>
  <si>
    <t>16.04.1993</t>
  </si>
  <si>
    <t>https://www.meteoschweiz.admin.ch/service-und-publikationen/applikationen/messwerte-und-messnetze.html#param=messnetz-automatisch&amp;station=PRE</t>
  </si>
  <si>
    <t>https://www.meteosuisse.admin.ch/services-et-publications/applications/valeurs-mesurees-et-reseaux-de-mesure.html#param=messnetz-automatisch&amp;station=PRE</t>
  </si>
  <si>
    <t>https://www.meteosvizzera.admin.ch/servizi-e-pubblicazioni/applicazioni/valori-attuali-e-reti-di-misura.html#param=messnetz-automatisch&amp;station=PRE</t>
  </si>
  <si>
    <t>https://www.meteoswiss.admin.ch/services-and-publications/applications/measurement-values-and-measuring-networks.html#param=messnetz-automatisch&amp;station=PRE</t>
  </si>
  <si>
    <t>PSI</t>
  </si>
  <si>
    <t>Würenlingen / PSI</t>
  </si>
  <si>
    <t>0-20000-0-06647</t>
  </si>
  <si>
    <t>14.01.1992</t>
  </si>
  <si>
    <t>https://www.meteoschweiz.admin.ch/service-und-publikationen/applikationen/messwerte-und-messnetze.html#param=messnetz-automatisch&amp;station=PSI</t>
  </si>
  <si>
    <t>https://www.meteosuisse.admin.ch/services-et-publications/applications/valeurs-mesurees-et-reseaux-de-mesure.html#param=messnetz-automatisch&amp;station=PSI</t>
  </si>
  <si>
    <t>https://www.meteosvizzera.admin.ch/servizi-e-pubblicazioni/applicazioni/valori-attuali-e-reti-di-misura.html#param=messnetz-automatisch&amp;station=PSI</t>
  </si>
  <si>
    <t>https://www.meteoswiss.admin.ch/services-and-publications/applications/measurement-values-and-measuring-networks.html#param=messnetz-automatisch&amp;station=PSI</t>
  </si>
  <si>
    <t>PUY</t>
  </si>
  <si>
    <t>Pully</t>
  </si>
  <si>
    <t>0-20000-0-06711</t>
  </si>
  <si>
    <t>https://www.meteoschweiz.admin.ch/service-und-publikationen/applikationen/messwerte-und-messnetze.html#param=messnetz-automatisch&amp;station=PUY</t>
  </si>
  <si>
    <t>https://www.meteosuisse.admin.ch/services-et-publications/applications/valeurs-mesurees-et-reseaux-de-mesure.html#param=messnetz-automatisch&amp;station=PUY</t>
  </si>
  <si>
    <t>https://www.meteosvizzera.admin.ch/servizi-e-pubblicazioni/applicazioni/valori-attuali-e-reti-di-misura.html#param=messnetz-automatisch&amp;station=PUY</t>
  </si>
  <si>
    <t>https://www.meteoswiss.admin.ch/services-and-publications/applications/measurement-values-and-measuring-networks.html#param=messnetz-automatisch&amp;station=PUY</t>
  </si>
  <si>
    <t>QUI</t>
  </si>
  <si>
    <t>Quinten</t>
  </si>
  <si>
    <t>0-20000-0-06687</t>
  </si>
  <si>
    <t>23.07.1992</t>
  </si>
  <si>
    <t>https://www.meteoschweiz.admin.ch/service-und-publikationen/applikationen/messwerte-und-messnetze.html#param=messnetz-automatisch&amp;station=QUI</t>
  </si>
  <si>
    <t>https://www.meteosuisse.admin.ch/services-et-publications/applications/valeurs-mesurees-et-reseaux-de-mesure.html#param=messnetz-automatisch&amp;station=QUI</t>
  </si>
  <si>
    <t>https://www.meteosvizzera.admin.ch/servizi-e-pubblicazioni/applicazioni/valori-attuali-e-reti-di-misura.html#param=messnetz-automatisch&amp;station=QUI</t>
  </si>
  <si>
    <t>https://www.meteoswiss.admin.ch/services-and-publications/applications/measurement-values-and-measuring-networks.html#param=messnetz-automatisch&amp;station=QUI</t>
  </si>
  <si>
    <t>RAG</t>
  </si>
  <si>
    <t>Bad Ragaz</t>
  </si>
  <si>
    <t>0-20000-0-06686</t>
  </si>
  <si>
    <t>https://www.meteoschweiz.admin.ch/service-und-publikationen/applikationen/messwerte-und-messnetze.html#param=messnetz-automatisch&amp;station=RAG</t>
  </si>
  <si>
    <t>https://www.meteosuisse.admin.ch/services-et-publications/applications/valeurs-mesurees-et-reseaux-de-mesure.html#param=messnetz-automatisch&amp;station=RAG</t>
  </si>
  <si>
    <t>https://www.meteosvizzera.admin.ch/servizi-e-pubblicazioni/applicazioni/valori-attuali-e-reti-di-misura.html#param=messnetz-automatisch&amp;station=RAG</t>
  </si>
  <si>
    <t>https://www.meteoswiss.admin.ch/services-and-publications/applications/measurement-values-and-measuring-networks.html#param=messnetz-automatisch&amp;station=RAG</t>
  </si>
  <si>
    <t>REH</t>
  </si>
  <si>
    <t>Zürich / Affoltern</t>
  </si>
  <si>
    <t>0-20000-0-06664</t>
  </si>
  <si>
    <t>https://www.meteoschweiz.admin.ch/service-und-publikationen/applikationen/messwerte-und-messnetze.html#param=messnetz-automatisch&amp;station=REH</t>
  </si>
  <si>
    <t>https://www.meteosuisse.admin.ch/services-et-publications/applications/valeurs-mesurees-et-reseaux-de-mesure.html#param=messnetz-automatisch&amp;station=REH</t>
  </si>
  <si>
    <t>https://www.meteosvizzera.admin.ch/servizi-e-pubblicazioni/applicazioni/valori-attuali-e-reti-di-misura.html#param=messnetz-automatisch&amp;station=REH</t>
  </si>
  <si>
    <t>https://www.meteoswiss.admin.ch/services-and-publications/applications/measurement-values-and-measuring-networks.html#param=messnetz-automatisch&amp;station=REH</t>
  </si>
  <si>
    <t>ROB</t>
  </si>
  <si>
    <t>Poschiavo / Robbia</t>
  </si>
  <si>
    <t>0-20000-0-06794</t>
  </si>
  <si>
    <t>https://www.meteoschweiz.admin.ch/service-und-publikationen/applikationen/messwerte-und-messnetze.html#param=messnetz-automatisch&amp;station=ROB</t>
  </si>
  <si>
    <t>https://www.meteosuisse.admin.ch/services-et-publications/applications/valeurs-mesurees-et-reseaux-de-mesure.html#param=messnetz-automatisch&amp;station=ROB</t>
  </si>
  <si>
    <t>https://www.meteosvizzera.admin.ch/servizi-e-pubblicazioni/applicazioni/valori-attuali-e-reti-di-misura.html#param=messnetz-automatisch&amp;station=ROB</t>
  </si>
  <si>
    <t>https://www.meteoswiss.admin.ch/services-and-publications/applications/measurement-values-and-measuring-networks.html#param=messnetz-automatisch&amp;station=ROB</t>
  </si>
  <si>
    <t>ROE</t>
  </si>
  <si>
    <t>Robièi</t>
  </si>
  <si>
    <t>0-20000-0-06751</t>
  </si>
  <si>
    <t>19.12.1990</t>
  </si>
  <si>
    <t>https://www.meteoschweiz.admin.ch/service-und-publikationen/applikationen/messwerte-und-messnetze.html#param=messnetz-automatisch&amp;station=ROE</t>
  </si>
  <si>
    <t>https://www.meteosuisse.admin.ch/services-et-publications/applications/valeurs-mesurees-et-reseaux-de-mesure.html#param=messnetz-automatisch&amp;station=ROE</t>
  </si>
  <si>
    <t>https://www.meteosvizzera.admin.ch/servizi-e-pubblicazioni/applicazioni/valori-attuali-e-reti-di-misura.html#param=messnetz-automatisch&amp;station=ROE</t>
  </si>
  <si>
    <t>https://www.meteoswiss.admin.ch/services-and-publications/applications/measurement-values-and-measuring-networks.html#param=messnetz-automatisch&amp;station=ROE</t>
  </si>
  <si>
    <t>RUE</t>
  </si>
  <si>
    <t>Rünenberg</t>
  </si>
  <si>
    <t>0-20000-0-06645</t>
  </si>
  <si>
    <t>01.05.1982</t>
  </si>
  <si>
    <t>https://www.meteoschweiz.admin.ch/service-und-publikationen/applikationen/messwerte-und-messnetze.html#param=messnetz-automatisch&amp;station=RUE</t>
  </si>
  <si>
    <t>https://www.meteosuisse.admin.ch/services-et-publications/applications/valeurs-mesurees-et-reseaux-de-mesure.html#param=messnetz-automatisch&amp;station=RUE</t>
  </si>
  <si>
    <t>https://www.meteosvizzera.admin.ch/servizi-e-pubblicazioni/applicazioni/valori-attuali-e-reti-di-misura.html#param=messnetz-automatisch&amp;station=RUE</t>
  </si>
  <si>
    <t>https://www.meteoswiss.admin.ch/services-and-publications/applications/measurement-values-and-measuring-networks.html#param=messnetz-automatisch&amp;station=RUE</t>
  </si>
  <si>
    <t>SAE</t>
  </si>
  <si>
    <t>Säntis</t>
  </si>
  <si>
    <t>AI</t>
  </si>
  <si>
    <t>0-20000-0-06680</t>
  </si>
  <si>
    <t>https://www.meteoschweiz.admin.ch/service-und-publikationen/applikationen/messwerte-und-messnetze.html#param=messnetz-automatisch&amp;station=SAE</t>
  </si>
  <si>
    <t>https://www.meteosuisse.admin.ch/services-et-publications/applications/valeurs-mesurees-et-reseaux-de-mesure.html#param=messnetz-automatisch&amp;station=SAE</t>
  </si>
  <si>
    <t>https://www.meteosvizzera.admin.ch/servizi-e-pubblicazioni/applicazioni/valori-attuali-e-reti-di-misura.html#param=messnetz-automatisch&amp;station=SAE</t>
  </si>
  <si>
    <t>https://www.meteoswiss.admin.ch/services-and-publications/applications/measurement-values-and-measuring-networks.html#param=messnetz-automatisch&amp;station=SAE</t>
  </si>
  <si>
    <t>SAG</t>
  </si>
  <si>
    <t>Sattel, SZ</t>
  </si>
  <si>
    <t>0-20000-0-06662</t>
  </si>
  <si>
    <t>https://www.meteoschweiz.admin.ch/service-und-publikationen/applikationen/messwerte-und-messnetze.html#param=messnetz-automatisch&amp;station=SAG</t>
  </si>
  <si>
    <t>https://www.meteosuisse.admin.ch/services-et-publications/applications/valeurs-mesurees-et-reseaux-de-mesure.html#param=messnetz-automatisch&amp;station=SAG</t>
  </si>
  <si>
    <t>https://www.meteosvizzera.admin.ch/servizi-e-pubblicazioni/applicazioni/valori-attuali-e-reti-di-misura.html#param=messnetz-automatisch&amp;station=SAG</t>
  </si>
  <si>
    <t>https://www.meteoswiss.admin.ch/services-and-publications/applications/measurement-values-and-measuring-networks.html#param=messnetz-automatisch&amp;station=SAG</t>
  </si>
  <si>
    <t>SAM</t>
  </si>
  <si>
    <t>Samedan</t>
  </si>
  <si>
    <t>0-20000-0-06792</t>
  </si>
  <si>
    <t>https://www.meteoschweiz.admin.ch/service-und-publikationen/applikationen/messwerte-und-messnetze.html#param=messnetz-automatisch&amp;station=SAM</t>
  </si>
  <si>
    <t>https://www.meteosuisse.admin.ch/services-et-publications/applications/valeurs-mesurees-et-reseaux-de-mesure.html#param=messnetz-automatisch&amp;station=SAM</t>
  </si>
  <si>
    <t>https://www.meteosvizzera.admin.ch/servizi-e-pubblicazioni/applicazioni/valori-attuali-e-reti-di-misura.html#param=messnetz-automatisch&amp;station=SAM</t>
  </si>
  <si>
    <t>https://www.meteoswiss.admin.ch/services-and-publications/applications/measurement-values-and-measuring-networks.html#param=messnetz-automatisch&amp;station=SAM</t>
  </si>
  <si>
    <t>SBE</t>
  </si>
  <si>
    <t>S. Bernardino</t>
  </si>
  <si>
    <t>0-20000-0-06783</t>
  </si>
  <si>
    <t>https://www.meteoschweiz.admin.ch/service-und-publikationen/applikationen/messwerte-und-messnetze.html#param=messnetz-automatisch&amp;station=SBE</t>
  </si>
  <si>
    <t>https://www.meteosuisse.admin.ch/services-et-publications/applications/valeurs-mesurees-et-reseaux-de-mesure.html#param=messnetz-automatisch&amp;station=SBE</t>
  </si>
  <si>
    <t>https://www.meteosvizzera.admin.ch/servizi-e-pubblicazioni/applicazioni/valori-attuali-e-reti-di-misura.html#param=messnetz-automatisch&amp;station=SBE</t>
  </si>
  <si>
    <t>https://www.meteoswiss.admin.ch/services-and-publications/applications/measurement-values-and-measuring-networks.html#param=messnetz-automatisch&amp;station=SBE</t>
  </si>
  <si>
    <t>SBO</t>
  </si>
  <si>
    <t>Stabio</t>
  </si>
  <si>
    <t>0-20000-0-06771</t>
  </si>
  <si>
    <t>09.07.1981</t>
  </si>
  <si>
    <t>https://www.meteoschweiz.admin.ch/service-und-publikationen/applikationen/messwerte-und-messnetze.html#param=messnetz-automatisch&amp;station=SBO</t>
  </si>
  <si>
    <t>https://www.meteosuisse.admin.ch/services-et-publications/applications/valeurs-mesurees-et-reseaux-de-mesure.html#param=messnetz-automatisch&amp;station=SBO</t>
  </si>
  <si>
    <t>https://www.meteosvizzera.admin.ch/servizi-e-pubblicazioni/applicazioni/valori-attuali-e-reti-di-misura.html#param=messnetz-automatisch&amp;station=SBO</t>
  </si>
  <si>
    <t>https://www.meteoswiss.admin.ch/services-and-publications/applications/measurement-values-and-measuring-networks.html#param=messnetz-automatisch&amp;station=SBO</t>
  </si>
  <si>
    <t>SCM</t>
  </si>
  <si>
    <t>Schmerikon</t>
  </si>
  <si>
    <t>0-20000-0-06683</t>
  </si>
  <si>
    <t>28.01.1993</t>
  </si>
  <si>
    <t>https://www.meteoschweiz.admin.ch/service-und-publikationen/applikationen/messwerte-und-messnetze.html#param=messnetz-automatisch&amp;station=SCM</t>
  </si>
  <si>
    <t>https://www.meteosuisse.admin.ch/services-et-publications/applications/valeurs-mesurees-et-reseaux-de-mesure.html#param=messnetz-automatisch&amp;station=SCM</t>
  </si>
  <si>
    <t>https://www.meteosvizzera.admin.ch/servizi-e-pubblicazioni/applicazioni/valori-attuali-e-reti-di-misura.html#param=messnetz-automatisch&amp;station=SCM</t>
  </si>
  <si>
    <t>https://www.meteoswiss.admin.ch/services-and-publications/applications/measurement-values-and-measuring-networks.html#param=messnetz-automatisch&amp;station=SCM</t>
  </si>
  <si>
    <t>SCU</t>
  </si>
  <si>
    <t>Scuol</t>
  </si>
  <si>
    <t>0-20000-0-06798</t>
  </si>
  <si>
    <t>01.01.1881</t>
  </si>
  <si>
    <t>https://www.meteoschweiz.admin.ch/service-und-publikationen/applikationen/messwerte-und-messnetze.html#param=messnetz-automatisch&amp;station=SCU</t>
  </si>
  <si>
    <t>https://www.meteosuisse.admin.ch/services-et-publications/applications/valeurs-mesurees-et-reseaux-de-mesure.html#param=messnetz-automatisch&amp;station=SCU</t>
  </si>
  <si>
    <t>https://www.meteosvizzera.admin.ch/servizi-e-pubblicazioni/applicazioni/valori-attuali-e-reti-di-misura.html#param=messnetz-automatisch&amp;station=SCU</t>
  </si>
  <si>
    <t>https://www.meteoswiss.admin.ch/services-and-publications/applications/measurement-values-and-measuring-networks.html#param=messnetz-automatisch&amp;station=SCU</t>
  </si>
  <si>
    <t>SHA</t>
  </si>
  <si>
    <t>Schaffhausen</t>
  </si>
  <si>
    <t>0-20000-0-06620</t>
  </si>
  <si>
    <t>01.10.1863</t>
  </si>
  <si>
    <t>Osthang</t>
  </si>
  <si>
    <t>Versant est</t>
  </si>
  <si>
    <t>Versante orientale</t>
  </si>
  <si>
    <t>eastern oriented slope</t>
  </si>
  <si>
    <t>https://www.meteoschweiz.admin.ch/service-und-publikationen/applikationen/messwerte-und-messnetze.html#param=messnetz-automatisch&amp;station=SHA</t>
  </si>
  <si>
    <t>https://www.meteosuisse.admin.ch/services-et-publications/applications/valeurs-mesurees-et-reseaux-de-mesure.html#param=messnetz-automatisch&amp;station=SHA</t>
  </si>
  <si>
    <t>https://www.meteosvizzera.admin.ch/servizi-e-pubblicazioni/applicazioni/valori-attuali-e-reti-di-misura.html#param=messnetz-automatisch&amp;station=SHA</t>
  </si>
  <si>
    <t>https://www.meteoswiss.admin.ch/services-and-publications/applications/measurement-values-and-measuring-networks.html#param=messnetz-automatisch&amp;station=SHA</t>
  </si>
  <si>
    <t>SIA</t>
  </si>
  <si>
    <t>Segl-Maria</t>
  </si>
  <si>
    <t>0-20000-0-06779</t>
  </si>
  <si>
    <t>https://www.meteoschweiz.admin.ch/service-und-publikationen/applikationen/messwerte-und-messnetze.html#param=messnetz-automatisch&amp;station=SIA</t>
  </si>
  <si>
    <t>https://www.meteosuisse.admin.ch/services-et-publications/applications/valeurs-mesurees-et-reseaux-de-mesure.html#param=messnetz-automatisch&amp;station=SIA</t>
  </si>
  <si>
    <t>https://www.meteosvizzera.admin.ch/servizi-e-pubblicazioni/applicazioni/valori-attuali-e-reti-di-misura.html#param=messnetz-automatisch&amp;station=SIA</t>
  </si>
  <si>
    <t>https://www.meteoswiss.admin.ch/services-and-publications/applications/measurement-values-and-measuring-networks.html#param=messnetz-automatisch&amp;station=SIA</t>
  </si>
  <si>
    <t>SIM</t>
  </si>
  <si>
    <t>Simplon-Dorf</t>
  </si>
  <si>
    <t>0-20000-0-06654</t>
  </si>
  <si>
    <t>https://www.meteoschweiz.admin.ch/service-und-publikationen/applikationen/messwerte-und-messnetze.html#param=messnetz-automatisch&amp;station=SIM</t>
  </si>
  <si>
    <t>https://www.meteosuisse.admin.ch/services-et-publications/applications/valeurs-mesurees-et-reseaux-de-mesure.html#param=messnetz-automatisch&amp;station=SIM</t>
  </si>
  <si>
    <t>https://www.meteosvizzera.admin.ch/servizi-e-pubblicazioni/applicazioni/valori-attuali-e-reti-di-misura.html#param=messnetz-automatisch&amp;station=SIM</t>
  </si>
  <si>
    <t>https://www.meteoswiss.admin.ch/services-and-publications/applications/measurement-values-and-measuring-networks.html#param=messnetz-automatisch&amp;station=SIM</t>
  </si>
  <si>
    <t>SIO</t>
  </si>
  <si>
    <t>Sion</t>
  </si>
  <si>
    <t>0-20000-0-06720</t>
  </si>
  <si>
    <t>https://www.meteoschweiz.admin.ch/service-und-publikationen/applikationen/messwerte-und-messnetze.html#param=messnetz-automatisch&amp;station=SIO</t>
  </si>
  <si>
    <t>https://www.meteosuisse.admin.ch/services-et-publications/applications/valeurs-mesurees-et-reseaux-de-mesure.html#param=messnetz-automatisch&amp;station=SIO</t>
  </si>
  <si>
    <t>https://www.meteosvizzera.admin.ch/servizi-e-pubblicazioni/applicazioni/valori-attuali-e-reti-di-misura.html#param=messnetz-automatisch&amp;station=SIO</t>
  </si>
  <si>
    <t>https://www.meteoswiss.admin.ch/services-and-publications/applications/measurement-values-and-measuring-networks.html#param=messnetz-automatisch&amp;station=SIO</t>
  </si>
  <si>
    <t>SMA</t>
  </si>
  <si>
    <t>Zürich / Fluntern</t>
  </si>
  <si>
    <t>0-20000-0-06660</t>
  </si>
  <si>
    <t>https://www.meteoschweiz.admin.ch/service-und-publikationen/applikationen/messwerte-und-messnetze.html#param=messnetz-automatisch&amp;station=SMA</t>
  </si>
  <si>
    <t>https://www.meteosuisse.admin.ch/services-et-publications/applications/valeurs-mesurees-et-reseaux-de-mesure.html#param=messnetz-automatisch&amp;station=SMA</t>
  </si>
  <si>
    <t>https://www.meteosvizzera.admin.ch/servizi-e-pubblicazioni/applicazioni/valori-attuali-e-reti-di-misura.html#param=messnetz-automatisch&amp;station=SMA</t>
  </si>
  <si>
    <t>https://www.meteoswiss.admin.ch/services-and-publications/applications/measurement-values-and-measuring-networks.html#param=messnetz-automatisch&amp;station=SMA</t>
  </si>
  <si>
    <t>SMM</t>
  </si>
  <si>
    <t>Sta. Maria, Val Müstair</t>
  </si>
  <si>
    <t>0-20000-0-06796</t>
  </si>
  <si>
    <t>01.10.1900</t>
  </si>
  <si>
    <t>Nordwesthang</t>
  </si>
  <si>
    <t>Versant nord-ouest</t>
  </si>
  <si>
    <t>Versante nord-occidentale</t>
  </si>
  <si>
    <t>north-western oriented slope</t>
  </si>
  <si>
    <t>https://www.meteoschweiz.admin.ch/service-und-publikationen/applikationen/messwerte-und-messnetze.html#param=messnetz-automatisch&amp;station=SMM</t>
  </si>
  <si>
    <t>https://www.meteosuisse.admin.ch/services-et-publications/applications/valeurs-mesurees-et-reseaux-de-mesure.html#param=messnetz-automatisch&amp;station=SMM</t>
  </si>
  <si>
    <t>https://www.meteosvizzera.admin.ch/servizi-e-pubblicazioni/applicazioni/valori-attuali-e-reti-di-misura.html#param=messnetz-automatisch&amp;station=SMM</t>
  </si>
  <si>
    <t>https://www.meteoswiss.admin.ch/services-and-publications/applications/measurement-values-and-measuring-networks.html#param=messnetz-automatisch&amp;station=SMM</t>
  </si>
  <si>
    <t>SPF</t>
  </si>
  <si>
    <t>Schüpfheim</t>
  </si>
  <si>
    <t>0-20000-0-06651</t>
  </si>
  <si>
    <t>28.04.1993</t>
  </si>
  <si>
    <t>https://www.meteoschweiz.admin.ch/service-und-publikationen/applikationen/messwerte-und-messnetze.html#param=messnetz-automatisch&amp;station=SPF</t>
  </si>
  <si>
    <t>https://www.meteosuisse.admin.ch/services-et-publications/applications/valeurs-mesurees-et-reseaux-de-mesure.html#param=messnetz-automatisch&amp;station=SPF</t>
  </si>
  <si>
    <t>https://www.meteosvizzera.admin.ch/servizi-e-pubblicazioni/applicazioni/valori-attuali-e-reti-di-misura.html#param=messnetz-automatisch&amp;station=SPF</t>
  </si>
  <si>
    <t>https://www.meteoswiss.admin.ch/services-and-publications/applications/measurement-values-and-measuring-networks.html#param=messnetz-automatisch&amp;station=SPF</t>
  </si>
  <si>
    <t>SRS</t>
  </si>
  <si>
    <t>Schiers</t>
  </si>
  <si>
    <t>0-20000-0-06790</t>
  </si>
  <si>
    <t>01.06.1885</t>
  </si>
  <si>
    <t>https://www.meteoschweiz.admin.ch/service-und-publikationen/applikationen/messwerte-und-messnetze.html#param=messnetz-automatisch&amp;station=SRS</t>
  </si>
  <si>
    <t>https://www.meteosuisse.admin.ch/services-et-publications/applications/valeurs-mesurees-et-reseaux-de-mesure.html#param=messnetz-automatisch&amp;station=SRS</t>
  </si>
  <si>
    <t>https://www.meteosvizzera.admin.ch/servizi-e-pubblicazioni/applicazioni/valori-attuali-e-reti-di-misura.html#param=messnetz-automatisch&amp;station=SRS</t>
  </si>
  <si>
    <t>https://www.meteoswiss.admin.ch/services-and-publications/applications/measurement-values-and-measuring-networks.html#param=messnetz-automatisch&amp;station=SRS</t>
  </si>
  <si>
    <t>STC</t>
  </si>
  <si>
    <t>St. Chrischona</t>
  </si>
  <si>
    <t>BS</t>
  </si>
  <si>
    <t>0-20000-0-06600</t>
  </si>
  <si>
    <t>12.12.1991</t>
  </si>
  <si>
    <t>https://www.meteoschweiz.admin.ch/service-und-publikationen/applikationen/messwerte-und-messnetze.html#param=messnetz-automatisch&amp;station=STC</t>
  </si>
  <si>
    <t>https://www.meteosuisse.admin.ch/services-et-publications/applications/valeurs-mesurees-et-reseaux-de-mesure.html#param=messnetz-automatisch&amp;station=STC</t>
  </si>
  <si>
    <t>https://www.meteosvizzera.admin.ch/servizi-e-pubblicazioni/applicazioni/valori-attuali-e-reti-di-misura.html#param=messnetz-automatisch&amp;station=STC</t>
  </si>
  <si>
    <t>https://www.meteoswiss.admin.ch/services-and-publications/applications/measurement-values-and-measuring-networks.html#param=messnetz-automatisch&amp;station=STC</t>
  </si>
  <si>
    <t>STG</t>
  </si>
  <si>
    <t>St. Gallen</t>
  </si>
  <si>
    <t>0-20000-0-06681</t>
  </si>
  <si>
    <t>https://www.meteoschweiz.admin.ch/service-und-publikationen/applikationen/messwerte-und-messnetze.html#param=messnetz-automatisch&amp;station=STG</t>
  </si>
  <si>
    <t>https://www.meteosuisse.admin.ch/services-et-publications/applications/valeurs-mesurees-et-reseaux-de-mesure.html#param=messnetz-automatisch&amp;station=STG</t>
  </si>
  <si>
    <t>https://www.meteosvizzera.admin.ch/servizi-e-pubblicazioni/applicazioni/valori-attuali-e-reti-di-misura.html#param=messnetz-automatisch&amp;station=STG</t>
  </si>
  <si>
    <t>https://www.meteoswiss.admin.ch/services-and-publications/applications/measurement-values-and-measuring-networks.html#param=messnetz-automatisch&amp;station=STG</t>
  </si>
  <si>
    <t>STK</t>
  </si>
  <si>
    <t>Steckborn</t>
  </si>
  <si>
    <t>0-20000-0-06671</t>
  </si>
  <si>
    <t>https://www.meteoschweiz.admin.ch/service-und-publikationen/applikationen/messwerte-und-messnetze.html#param=messnetz-automatisch&amp;station=STK</t>
  </si>
  <si>
    <t>https://www.meteosuisse.admin.ch/services-et-publications/applications/valeurs-mesurees-et-reseaux-de-mesure.html#param=messnetz-automatisch&amp;station=STK</t>
  </si>
  <si>
    <t>https://www.meteosvizzera.admin.ch/servizi-e-pubblicazioni/applicazioni/valori-attuali-e-reti-di-misura.html#param=messnetz-automatisch&amp;station=STK</t>
  </si>
  <si>
    <t>https://www.meteoswiss.admin.ch/services-and-publications/applications/measurement-values-and-measuring-networks.html#param=messnetz-automatisch&amp;station=STK</t>
  </si>
  <si>
    <t>TAE</t>
  </si>
  <si>
    <t>Aadorf / Tänikon</t>
  </si>
  <si>
    <t>0-20000-0-06679</t>
  </si>
  <si>
    <t>01.01.1970</t>
  </si>
  <si>
    <t>https://www.meteoschweiz.admin.ch/service-und-publikationen/applikationen/messwerte-und-messnetze.html#param=messnetz-automatisch&amp;station=TAE</t>
  </si>
  <si>
    <t>https://www.meteosuisse.admin.ch/services-et-publications/applications/valeurs-mesurees-et-reseaux-de-mesure.html#param=messnetz-automatisch&amp;station=TAE</t>
  </si>
  <si>
    <t>https://www.meteosvizzera.admin.ch/servizi-e-pubblicazioni/applicazioni/valori-attuali-e-reti-di-misura.html#param=messnetz-automatisch&amp;station=TAE</t>
  </si>
  <si>
    <t>https://www.meteoswiss.admin.ch/services-and-publications/applications/measurement-values-and-measuring-networks.html#param=messnetz-automatisch&amp;station=TAE</t>
  </si>
  <si>
    <t>THU</t>
  </si>
  <si>
    <t>Thun</t>
  </si>
  <si>
    <t>0-20000-0-06731</t>
  </si>
  <si>
    <t>31.05.1875</t>
  </si>
  <si>
    <t>https://www.meteoschweiz.admin.ch/service-und-publikationen/applikationen/messwerte-und-messnetze.html#param=messnetz-automatisch&amp;station=THU</t>
  </si>
  <si>
    <t>https://www.meteosuisse.admin.ch/services-et-publications/applications/valeurs-mesurees-et-reseaux-de-mesure.html#param=messnetz-automatisch&amp;station=THU</t>
  </si>
  <si>
    <t>https://www.meteosvizzera.admin.ch/servizi-e-pubblicazioni/applicazioni/valori-attuali-e-reti-di-misura.html#param=messnetz-automatisch&amp;station=THU</t>
  </si>
  <si>
    <t>https://www.meteoswiss.admin.ch/services-and-publications/applications/measurement-values-and-measuring-networks.html#param=messnetz-automatisch&amp;station=THU</t>
  </si>
  <si>
    <t>TIT</t>
  </si>
  <si>
    <t>Titlis</t>
  </si>
  <si>
    <t>0-20000-0-06740</t>
  </si>
  <si>
    <t>19.05.1993</t>
  </si>
  <si>
    <t>https://www.meteoschweiz.admin.ch/service-und-publikationen/applikationen/messwerte-und-messnetze.html#param=messnetz-automatisch&amp;station=TIT</t>
  </si>
  <si>
    <t>https://www.meteosuisse.admin.ch/services-et-publications/applications/valeurs-mesurees-et-reseaux-de-mesure.html#param=messnetz-automatisch&amp;station=TIT</t>
  </si>
  <si>
    <t>https://www.meteosvizzera.admin.ch/servizi-e-pubblicazioni/applicazioni/valori-attuali-e-reti-di-misura.html#param=messnetz-automatisch&amp;station=TIT</t>
  </si>
  <si>
    <t>https://www.meteoswiss.admin.ch/services-and-publications/applications/measurement-values-and-measuring-networks.html#param=messnetz-automatisch&amp;station=TIT</t>
  </si>
  <si>
    <t>UEB</t>
  </si>
  <si>
    <t>Uetliberg</t>
  </si>
  <si>
    <t>0-20000-0-06677</t>
  </si>
  <si>
    <t>14.11.1991</t>
  </si>
  <si>
    <t>https://www.meteoschweiz.admin.ch/service-und-publikationen/applikationen/messwerte-und-messnetze.html#param=messnetz-automatisch&amp;station=UEB</t>
  </si>
  <si>
    <t>https://www.meteosuisse.admin.ch/services-et-publications/applications/valeurs-mesurees-et-reseaux-de-mesure.html#param=messnetz-automatisch&amp;station=UEB</t>
  </si>
  <si>
    <t>https://www.meteosvizzera.admin.ch/servizi-e-pubblicazioni/applicazioni/valori-attuali-e-reti-di-misura.html#param=messnetz-automatisch&amp;station=UEB</t>
  </si>
  <si>
    <t>https://www.meteoswiss.admin.ch/services-and-publications/applications/measurement-values-and-measuring-networks.html#param=messnetz-automatisch&amp;station=UEB</t>
  </si>
  <si>
    <t>ULR</t>
  </si>
  <si>
    <t>Ulrichen</t>
  </si>
  <si>
    <t>0-20000-0-06745</t>
  </si>
  <si>
    <t>https://www.meteoschweiz.admin.ch/service-und-publikationen/applikationen/messwerte-und-messnetze.html#param=messnetz-automatisch&amp;station=ULR</t>
  </si>
  <si>
    <t>https://www.meteosuisse.admin.ch/services-et-publications/applications/valeurs-mesurees-et-reseaux-de-mesure.html#param=messnetz-automatisch&amp;station=ULR</t>
  </si>
  <si>
    <t>https://www.meteosvizzera.admin.ch/servizi-e-pubblicazioni/applicazioni/valori-attuali-e-reti-di-misura.html#param=messnetz-automatisch&amp;station=ULR</t>
  </si>
  <si>
    <t>https://www.meteoswiss.admin.ch/services-and-publications/applications/measurement-values-and-measuring-networks.html#param=messnetz-automatisch&amp;station=ULR</t>
  </si>
  <si>
    <t>VAB</t>
  </si>
  <si>
    <t>Valbella</t>
  </si>
  <si>
    <t>0-20000-0-06793</t>
  </si>
  <si>
    <t>01.07.1993</t>
  </si>
  <si>
    <t>https://www.meteoschweiz.admin.ch/service-und-publikationen/applikationen/messwerte-und-messnetze.html#param=messnetz-automatisch&amp;station=VAB</t>
  </si>
  <si>
    <t>https://www.meteosuisse.admin.ch/services-et-publications/applications/valeurs-mesurees-et-reseaux-de-mesure.html#param=messnetz-automatisch&amp;station=VAB</t>
  </si>
  <si>
    <t>https://www.meteosvizzera.admin.ch/servizi-e-pubblicazioni/applicazioni/valori-attuali-e-reti-di-misura.html#param=messnetz-automatisch&amp;station=VAB</t>
  </si>
  <si>
    <t>https://www.meteoswiss.admin.ch/services-and-publications/applications/measurement-values-and-measuring-networks.html#param=messnetz-automatisch&amp;station=VAB</t>
  </si>
  <si>
    <t>VAD</t>
  </si>
  <si>
    <t>Vaduz</t>
  </si>
  <si>
    <t>FL</t>
  </si>
  <si>
    <t>0-20000-0-06990</t>
  </si>
  <si>
    <t>https://www.meteoschweiz.admin.ch/service-und-publikationen/applikationen/messwerte-und-messnetze.html#param=messnetz-automatisch&amp;station=VAD</t>
  </si>
  <si>
    <t>https://www.meteosuisse.admin.ch/services-et-publications/applications/valeurs-mesurees-et-reseaux-de-mesure.html#param=messnetz-automatisch&amp;station=VAD</t>
  </si>
  <si>
    <t>https://www.meteosvizzera.admin.ch/servizi-e-pubblicazioni/applicazioni/valori-attuali-e-reti-di-misura.html#param=messnetz-automatisch&amp;station=VAD</t>
  </si>
  <si>
    <t>https://www.meteoswiss.admin.ch/services-and-publications/applications/measurement-values-and-measuring-networks.html#param=messnetz-automatisch&amp;station=VAD</t>
  </si>
  <si>
    <t>VEV</t>
  </si>
  <si>
    <t>Vevey / Corseaux</t>
  </si>
  <si>
    <t>0-20000-0-06603</t>
  </si>
  <si>
    <t>https://www.meteoschweiz.admin.ch/service-und-publikationen/applikationen/messwerte-und-messnetze.html#param=messnetz-automatisch&amp;station=VEV</t>
  </si>
  <si>
    <t>https://www.meteosuisse.admin.ch/services-et-publications/applications/valeurs-mesurees-et-reseaux-de-mesure.html#param=messnetz-automatisch&amp;station=VEV</t>
  </si>
  <si>
    <t>https://www.meteosvizzera.admin.ch/servizi-e-pubblicazioni/applicazioni/valori-attuali-e-reti-di-misura.html#param=messnetz-automatisch&amp;station=VEV</t>
  </si>
  <si>
    <t>https://www.meteoswiss.admin.ch/services-and-publications/applications/measurement-values-and-measuring-networks.html#param=messnetz-automatisch&amp;station=VEV</t>
  </si>
  <si>
    <t>VIO</t>
  </si>
  <si>
    <t>Vicosoprano</t>
  </si>
  <si>
    <t>0-20000-0-06788</t>
  </si>
  <si>
    <t>https://www.meteoschweiz.admin.ch/service-und-publikationen/applikationen/messwerte-und-messnetze.html#param=messnetz-automatisch&amp;station=VIO</t>
  </si>
  <si>
    <t>https://www.meteosuisse.admin.ch/services-et-publications/applications/valeurs-mesurees-et-reseaux-de-mesure.html#param=messnetz-automatisch&amp;station=VIO</t>
  </si>
  <si>
    <t>https://www.meteosvizzera.admin.ch/servizi-e-pubblicazioni/applicazioni/valori-attuali-e-reti-di-misura.html#param=messnetz-automatisch&amp;station=VIO</t>
  </si>
  <si>
    <t>https://www.meteoswiss.admin.ch/services-and-publications/applications/measurement-values-and-measuring-networks.html#param=messnetz-automatisch&amp;station=VIO</t>
  </si>
  <si>
    <t>VIS</t>
  </si>
  <si>
    <t>Visp</t>
  </si>
  <si>
    <t>0-20000-0-06727</t>
  </si>
  <si>
    <t>https://www.meteoschweiz.admin.ch/service-und-publikationen/applikationen/messwerte-und-messnetze.html#param=messnetz-automatisch&amp;station=VIS</t>
  </si>
  <si>
    <t>https://www.meteosuisse.admin.ch/services-et-publications/applications/valeurs-mesurees-et-reseaux-de-mesure.html#param=messnetz-automatisch&amp;station=VIS</t>
  </si>
  <si>
    <t>https://www.meteosvizzera.admin.ch/servizi-e-pubblicazioni/applicazioni/valori-attuali-e-reti-di-misura.html#param=messnetz-automatisch&amp;station=VIS</t>
  </si>
  <si>
    <t>https://www.meteoswiss.admin.ch/services-and-publications/applications/measurement-values-and-measuring-networks.html#param=messnetz-automatisch&amp;station=VIS</t>
  </si>
  <si>
    <t>VIT</t>
  </si>
  <si>
    <t>Villars-Tiercelin</t>
  </si>
  <si>
    <t>0-20000-0-06707</t>
  </si>
  <si>
    <t>https://www.meteoschweiz.admin.ch/service-und-publikationen/applikationen/messwerte-und-messnetze.html#param=messnetz-automatisch&amp;station=VIT</t>
  </si>
  <si>
    <t>https://www.meteosuisse.admin.ch/services-et-publications/applications/valeurs-mesurees-et-reseaux-de-mesure.html#param=messnetz-automatisch&amp;station=VIT</t>
  </si>
  <si>
    <t>https://www.meteosvizzera.admin.ch/servizi-e-pubblicazioni/applicazioni/valori-attuali-e-reti-di-misura.html#param=messnetz-automatisch&amp;station=VIT</t>
  </si>
  <si>
    <t>https://www.meteoswiss.admin.ch/services-and-publications/applications/measurement-values-and-measuring-networks.html#param=messnetz-automatisch&amp;station=VIT</t>
  </si>
  <si>
    <t>VLS</t>
  </si>
  <si>
    <t>Vals</t>
  </si>
  <si>
    <t>0-20000-0-06663</t>
  </si>
  <si>
    <t>01.02.1892</t>
  </si>
  <si>
    <t>https://www.meteoschweiz.admin.ch/service-und-publikationen/applikationen/messwerte-und-messnetze.html#param=messnetz-automatisch&amp;station=VLS</t>
  </si>
  <si>
    <t>https://www.meteosuisse.admin.ch/services-et-publications/applications/valeurs-mesurees-et-reseaux-de-mesure.html#param=messnetz-automatisch&amp;station=VLS</t>
  </si>
  <si>
    <t>https://www.meteosvizzera.admin.ch/servizi-e-pubblicazioni/applicazioni/valori-attuali-e-reti-di-misura.html#param=messnetz-automatisch&amp;station=VLS</t>
  </si>
  <si>
    <t>https://www.meteoswiss.admin.ch/services-and-publications/applications/measurement-values-and-measuring-networks.html#param=messnetz-automatisch&amp;station=VLS</t>
  </si>
  <si>
    <t>WAE</t>
  </si>
  <si>
    <t>Wädenswil</t>
  </si>
  <si>
    <t>0-20000-0-06673</t>
  </si>
  <si>
    <t>Nordosthang</t>
  </si>
  <si>
    <t>Versant nord-est</t>
  </si>
  <si>
    <t>Versante nord-orientale</t>
  </si>
  <si>
    <t>north-eastern oriented slope</t>
  </si>
  <si>
    <t>https://www.meteoschweiz.admin.ch/service-und-publikationen/applikationen/messwerte-und-messnetze.html#param=messnetz-automatisch&amp;station=WAE</t>
  </si>
  <si>
    <t>https://www.meteosuisse.admin.ch/services-et-publications/applications/valeurs-mesurees-et-reseaux-de-mesure.html#param=messnetz-automatisch&amp;station=WAE</t>
  </si>
  <si>
    <t>https://www.meteosvizzera.admin.ch/servizi-e-pubblicazioni/applicazioni/valori-attuali-e-reti-di-misura.html#param=messnetz-automatisch&amp;station=WAE</t>
  </si>
  <si>
    <t>https://www.meteoswiss.admin.ch/services-and-publications/applications/measurement-values-and-measuring-networks.html#param=messnetz-automatisch&amp;station=WAE</t>
  </si>
  <si>
    <t>WFJ</t>
  </si>
  <si>
    <t>Weissfluhjoch</t>
  </si>
  <si>
    <t>0-20000-0-06780</t>
  </si>
  <si>
    <t>01.11.1958</t>
  </si>
  <si>
    <t>https://www.meteoschweiz.admin.ch/service-und-publikationen/applikationen/messwerte-und-messnetze.html#param=messnetz-automatisch&amp;station=WFJ</t>
  </si>
  <si>
    <t>https://www.meteosuisse.admin.ch/services-et-publications/applications/valeurs-mesurees-et-reseaux-de-mesure.html#param=messnetz-automatisch&amp;station=WFJ</t>
  </si>
  <si>
    <t>https://www.meteosvizzera.admin.ch/servizi-e-pubblicazioni/applicazioni/valori-attuali-e-reti-di-misura.html#param=messnetz-automatisch&amp;station=WFJ</t>
  </si>
  <si>
    <t>https://www.meteoswiss.admin.ch/services-and-publications/applications/measurement-values-and-measuring-networks.html#param=messnetz-automatisch&amp;station=WFJ</t>
  </si>
  <si>
    <t>WYN</t>
  </si>
  <si>
    <t>Wynau</t>
  </si>
  <si>
    <t>0-20000-0-06643</t>
  </si>
  <si>
    <t>https://www.meteoschweiz.admin.ch/service-und-publikationen/applikationen/messwerte-und-messnetze.html#param=messnetz-automatisch&amp;station=WYN</t>
  </si>
  <si>
    <t>https://www.meteosuisse.admin.ch/services-et-publications/applications/valeurs-mesurees-et-reseaux-de-mesure.html#param=messnetz-automatisch&amp;station=WYN</t>
  </si>
  <si>
    <t>https://www.meteosvizzera.admin.ch/servizi-e-pubblicazioni/applicazioni/valori-attuali-e-reti-di-misura.html#param=messnetz-automatisch&amp;station=WYN</t>
  </si>
  <si>
    <t>https://www.meteoswiss.admin.ch/services-and-publications/applications/measurement-values-and-measuring-networks.html#param=messnetz-automatisch&amp;station=WYN</t>
  </si>
  <si>
    <t>ZER</t>
  </si>
  <si>
    <t>Zermatt</t>
  </si>
  <si>
    <t>0-20000-0-06748</t>
  </si>
  <si>
    <t>01.04.1892</t>
  </si>
  <si>
    <t>https://www.meteoschweiz.admin.ch/service-und-publikationen/applikationen/messwerte-und-messnetze.html#param=messnetz-automatisch&amp;station=ZER</t>
  </si>
  <si>
    <t>https://www.meteosuisse.admin.ch/services-et-publications/applications/valeurs-mesurees-et-reseaux-de-mesure.html#param=messnetz-automatisch&amp;station=ZER</t>
  </si>
  <si>
    <t>https://www.meteosvizzera.admin.ch/servizi-e-pubblicazioni/applicazioni/valori-attuali-e-reti-di-misura.html#param=messnetz-automatisch&amp;station=ZER</t>
  </si>
  <si>
    <t>https://www.meteoswiss.admin.ch/services-and-publications/applications/measurement-values-and-measuring-networks.html#param=messnetz-automatisch&amp;station=ZER</t>
  </si>
  <si>
    <t>Automatische Turmstationen</t>
  </si>
  <si>
    <t>Stations de tour automatiques</t>
  </si>
  <si>
    <t>Stazioni a torre automatiche</t>
  </si>
  <si>
    <t>Automatic tower stations</t>
  </si>
  <si>
    <t>parameter_shortname</t>
  </si>
  <si>
    <t>parameter_description_de</t>
  </si>
  <si>
    <t>parameter_description_fr</t>
  </si>
  <si>
    <t>parameter_description_it</t>
  </si>
  <si>
    <t>parameter_description_en</t>
  </si>
  <si>
    <t>parameter_group_de</t>
  </si>
  <si>
    <t>parameter_group_fr</t>
  </si>
  <si>
    <t>parameter_group_it</t>
  </si>
  <si>
    <t>parameter_group_en</t>
  </si>
  <si>
    <t>parameter_granularity</t>
  </si>
  <si>
    <t>parameter_decimals</t>
  </si>
  <si>
    <t>parameter_datatype</t>
  </si>
  <si>
    <t>parameter_unit</t>
  </si>
  <si>
    <t>dkl010d0</t>
  </si>
  <si>
    <t>Windrichtung; Tagesmittel</t>
  </si>
  <si>
    <t>Direction du vent; moyenne journalière</t>
  </si>
  <si>
    <t>Direzione del vento; media giornaliera</t>
  </si>
  <si>
    <t>Wind direction; daily mean</t>
  </si>
  <si>
    <t>Wind</t>
  </si>
  <si>
    <t>Vent</t>
  </si>
  <si>
    <t>Vento</t>
  </si>
  <si>
    <t>D</t>
  </si>
  <si>
    <t>Integer</t>
  </si>
  <si>
    <t>°</t>
  </si>
  <si>
    <t>dkl010h0</t>
  </si>
  <si>
    <t>Windrichtung; Stundenmittel</t>
  </si>
  <si>
    <t>Direction du vent; moyenne horaire</t>
  </si>
  <si>
    <t>Direzione del vento; media oraria</t>
  </si>
  <si>
    <t>Wind direction; hourly mean</t>
  </si>
  <si>
    <t>H</t>
  </si>
  <si>
    <t>dkl010z0</t>
  </si>
  <si>
    <t>Windrichtung; Zehnminutenmittel</t>
  </si>
  <si>
    <t>Direction du vent; moyenne sur 10 minutes</t>
  </si>
  <si>
    <t>Direzione del vento; media su 10'</t>
  </si>
  <si>
    <t>Wind direction; ten minutes mean</t>
  </si>
  <si>
    <t>T</t>
  </si>
  <si>
    <t>erefaod0</t>
  </si>
  <si>
    <t>Referenzverdunstung nach FAO; Tagessumme</t>
  </si>
  <si>
    <t>Évaporation de réference de FAO; somme journalière</t>
  </si>
  <si>
    <t>Evaporazione referenze di FAO; somma giornaliera</t>
  </si>
  <si>
    <t>Reference evaporation from FAO; daily total</t>
  </si>
  <si>
    <t>Verdunstung</t>
  </si>
  <si>
    <t>évaporation</t>
  </si>
  <si>
    <t>evaporazione</t>
  </si>
  <si>
    <t>evaporation</t>
  </si>
  <si>
    <t>Float</t>
  </si>
  <si>
    <t>mm/d</t>
  </si>
  <si>
    <t>erefaoh0</t>
  </si>
  <si>
    <t>Referenzverdunstung nach FAO; Stundensumme</t>
  </si>
  <si>
    <t>Évaporation de réference de FAO; somme horaire</t>
  </si>
  <si>
    <t>Evaporazione referenze di FAO; somma oraria</t>
  </si>
  <si>
    <t>Reference evaporation from FAO; hourly total</t>
  </si>
  <si>
    <t>mm/h</t>
  </si>
  <si>
    <t>erefaom0</t>
  </si>
  <si>
    <t>Referenzverdunstung nach FAO; Monatssumme</t>
  </si>
  <si>
    <t>Évaporation de réference de FAO; somme mensuelle</t>
  </si>
  <si>
    <t>Evaporazione referenze di FAO; somma mensile</t>
  </si>
  <si>
    <t>Reference evaporation from FAO; monthly total</t>
  </si>
  <si>
    <t>M</t>
  </si>
  <si>
    <t>erefaoy0</t>
  </si>
  <si>
    <t>Referenzverdunstung nach FAO; Jahressumme</t>
  </si>
  <si>
    <t>Evaporazione referenze di FAO; somma annuale</t>
  </si>
  <si>
    <t>Reference evaporation from FAO; annual total</t>
  </si>
  <si>
    <t>Y</t>
  </si>
  <si>
    <t>fkl010d0</t>
  </si>
  <si>
    <t>Windgeschwindigkeit skalar; Tagesmittel in m/s</t>
  </si>
  <si>
    <t>Vitesse du vent scalaire; moyenne journalière en m/s</t>
  </si>
  <si>
    <t>Velocità del vento scalare; media giornaliera in m/s</t>
  </si>
  <si>
    <t>Wind speed scalar; daily mean in m/s</t>
  </si>
  <si>
    <t>m/s</t>
  </si>
  <si>
    <t>fkl010d1</t>
  </si>
  <si>
    <t>Böenspitze (Sekundenböe); Tagesmaximum in m/s</t>
  </si>
  <si>
    <t>Rafale (intégration 1 s); maximum journalier en m/s</t>
  </si>
  <si>
    <t>Raffica del vento (su un secondo); massima giornaliera in m/s</t>
  </si>
  <si>
    <t>Gust peak (one second); daily maximum in m/s</t>
  </si>
  <si>
    <t>fkl010d3</t>
  </si>
  <si>
    <t>Böenspitze (3-Sekundenböe); Tagesmaximum in m/s</t>
  </si>
  <si>
    <t>Rafale (intégration 3 s); maximum journalier en m/s</t>
  </si>
  <si>
    <t>Raffica del vento (su tre secondi); massima giornaliera in m/s</t>
  </si>
  <si>
    <t>Gust peak (three seconds); daily maximum in m/s</t>
  </si>
  <si>
    <t>fkl010h0</t>
  </si>
  <si>
    <t>Windgeschwindigkeit skalar; Stundenmittel in m/s</t>
  </si>
  <si>
    <t>Vitesse du vent scalaire; moyenne horaire en m/s</t>
  </si>
  <si>
    <t>Velocità del vento scalare; media oraria in m/s</t>
  </si>
  <si>
    <t>Wind speed scalar; hourly mean in m/s</t>
  </si>
  <si>
    <t>fkl010h1</t>
  </si>
  <si>
    <t>Böenspitze (Sekundenböe); Stundenmaximum in m/s</t>
  </si>
  <si>
    <t>Rafale (intégration 1 s); maximum horaire en m/s</t>
  </si>
  <si>
    <t>Raffica del vento (su un secondo); massima oraria in m/s</t>
  </si>
  <si>
    <t>Gust peak (one second); hourly maximum in m/s</t>
  </si>
  <si>
    <t>fkl010h3</t>
  </si>
  <si>
    <t>Böenspitze (3-Sekundenböe); Stundenmaximum in m/s</t>
  </si>
  <si>
    <t>Rafale (intégration 3 s); maximum horaire en m/s</t>
  </si>
  <si>
    <t>Raffica del vento (su tre secondi); massima oraria in m/s</t>
  </si>
  <si>
    <t>Gust peak (three seconds); hourly maximum in m/s</t>
  </si>
  <si>
    <t>fkl010m0</t>
  </si>
  <si>
    <t>Windgeschwindigkeit skalar; Monatsmittel in m/s</t>
  </si>
  <si>
    <t>Vitesse du vent scalaire; moyenne mensuelle en m/s</t>
  </si>
  <si>
    <t>Velocità del vento scalare; media mensile in m/s</t>
  </si>
  <si>
    <t>Wind speed scalar; monthly mean in m/s</t>
  </si>
  <si>
    <t>fkl010m1</t>
  </si>
  <si>
    <t>Böenspitze (Sekundenböe); Monatsmaximum in m/s</t>
  </si>
  <si>
    <t>Rafale (intégration 1 s); maximum mensuel en m/s</t>
  </si>
  <si>
    <t>Raffica del vento (su un secondo); massima mensile in m/s</t>
  </si>
  <si>
    <t>Gust peak (one second); monthly maximum in m/s</t>
  </si>
  <si>
    <t>fkl010y0</t>
  </si>
  <si>
    <t>Windgeschwindigkeit skalar; Jahresmittel in m/s</t>
  </si>
  <si>
    <t>Vitesse du vent scalaire; moyenne annuelle en m/s</t>
  </si>
  <si>
    <t>Velocità del vento scalare; media annuale in m/s</t>
  </si>
  <si>
    <t>Wind speed scalar; annual mean in m/s</t>
  </si>
  <si>
    <t>fkl010y1</t>
  </si>
  <si>
    <t>Böenspitze (Sekundenböe); Jahresmaximum in m/s</t>
  </si>
  <si>
    <t>Rafale (intégration 1 s); maximum annuel en m/s</t>
  </si>
  <si>
    <t>Raffica del vento (su un secondo); massima annuale in m/s</t>
  </si>
  <si>
    <t>Gust peak (one second); annual maximum in m/s</t>
  </si>
  <si>
    <t>fkl010z0</t>
  </si>
  <si>
    <t>Windgeschwindigkeit skalar; Zehnminutenmittel in m/s</t>
  </si>
  <si>
    <t>Vitesse du vent scalaire; moyenne sur 10 minutes en m/s</t>
  </si>
  <si>
    <t>Velocità del vento scalare; media su 10' in m/s</t>
  </si>
  <si>
    <t>Wind speed scalar; ten minutes mean in m/s</t>
  </si>
  <si>
    <t>fkl010z1</t>
  </si>
  <si>
    <t>Böenspitze (Sekundenböe); Maximum in m/s</t>
  </si>
  <si>
    <t>Rafale (intégration 1 s); maximum en m/s</t>
  </si>
  <si>
    <t>Raffica del vento (su un secondo); massima in m/s</t>
  </si>
  <si>
    <t>Gust peak (one second); maximum in m/s</t>
  </si>
  <si>
    <t>fkl010z3</t>
  </si>
  <si>
    <t>Böenspitze (3-Sekundenböe); Maximum in m/s</t>
  </si>
  <si>
    <t>Rafale (intégration 3 s); maximum en m/s</t>
  </si>
  <si>
    <t>Raffica del vento (su tre secondi); massima in m/s</t>
  </si>
  <si>
    <t>Gust peak (three seconds); maximum in m/s</t>
  </si>
  <si>
    <t>fu3010d0</t>
  </si>
  <si>
    <t>Windgeschwindigkeit skalar; Tagesmittel in km/h</t>
  </si>
  <si>
    <t>Vitesse du vent scalaire; moyenne journalière en km/h</t>
  </si>
  <si>
    <t>Velocità del vento scalare; media giornaliera in km/h</t>
  </si>
  <si>
    <t>Wind speed scalar; daily mean in km/h</t>
  </si>
  <si>
    <t>km/h</t>
  </si>
  <si>
    <t>fu3010d1</t>
  </si>
  <si>
    <t>Böenspitze (Sekundenböe); Tagesmaximum in km/h</t>
  </si>
  <si>
    <t>Rafale (intégration 1 s); maximum journalier en km/h</t>
  </si>
  <si>
    <t>Raffica del vento (su un secondo); massima giornaliera in km/h</t>
  </si>
  <si>
    <t>Gust peak (one second); daily maximum in km/h</t>
  </si>
  <si>
    <t>fu3010d3</t>
  </si>
  <si>
    <t>Böenspitze (3-Sekundenböe); Tagesmaximum in km/h</t>
  </si>
  <si>
    <t>Rafale (intégration 3 s); maximum journalier en km/h</t>
  </si>
  <si>
    <t>Raffica del vento (su tre secondi); massima giornaliera in km/h</t>
  </si>
  <si>
    <t>Gust peak (three seconds); daily maximum in km/h</t>
  </si>
  <si>
    <t>fu3010h0</t>
  </si>
  <si>
    <t>Windgeschwindigkeit skalar; Stundenmittel in km/h</t>
  </si>
  <si>
    <t>Vitesse du vent scalaire; moyenne horaire en km/h</t>
  </si>
  <si>
    <t>Velocità del vento scalare; media oraria in km/h</t>
  </si>
  <si>
    <t>Wind speed scalar; hourly mean in km/h</t>
  </si>
  <si>
    <t>fu3010h1</t>
  </si>
  <si>
    <t>Böenspitze (Sekundenböe); Stundenmaximum in km/h</t>
  </si>
  <si>
    <t>Rafale (intégration 1 s); maximum horaire en km/h</t>
  </si>
  <si>
    <t>Raffica del vento (su un secondo); massima oraria in km/h</t>
  </si>
  <si>
    <t>Gust peak (one second); hourly maximum in km/h</t>
  </si>
  <si>
    <t>fu3010h3</t>
  </si>
  <si>
    <t>Böenspitze (3-Sekundenböe); Stundenmaximum in km/h</t>
  </si>
  <si>
    <t>Rafale (intégration 3 s); maximum horaire en km/h</t>
  </si>
  <si>
    <t>Raffica del vento (su tre secondi); massima oraria in km/h</t>
  </si>
  <si>
    <t>Gust peak (three seconds); hourly maximum in km/h</t>
  </si>
  <si>
    <t>fu3010m0</t>
  </si>
  <si>
    <t>Windgeschwindigkeit skalar; Monatsmittel in km/h</t>
  </si>
  <si>
    <t>Vitesse du vent scalaire; moyenne mensuelle en km/h</t>
  </si>
  <si>
    <t>Velocità del vento scalare; media mensile in km/h</t>
  </si>
  <si>
    <t>Wind speed scalar; monthly mean in km/h</t>
  </si>
  <si>
    <t>fu3010m1</t>
  </si>
  <si>
    <t>Böenspitze (Sekundenböe); Monatsmaximum in km/h</t>
  </si>
  <si>
    <t>Rafale (intégration 1 s); maximum mensuel en km/h</t>
  </si>
  <si>
    <t>Raffica del vento (su un secondo); massima mensile in km/h</t>
  </si>
  <si>
    <t>Gust peak (one second); monthly maximum in km/h</t>
  </si>
  <si>
    <t>fu3010y0</t>
  </si>
  <si>
    <t>Windgeschwindigkeit skalar; Jahresmittel in km/h</t>
  </si>
  <si>
    <t>Vitesse du vent scalaire; moyenne annuelle en km/h</t>
  </si>
  <si>
    <t>Velocità del vento scalare; media annuale in km/h</t>
  </si>
  <si>
    <t>Wind speed scalar; annual mean in km/h</t>
  </si>
  <si>
    <t>fu3010y1</t>
  </si>
  <si>
    <t>Böenspitze (Sekundenböe); Jahresmaximum in km/h</t>
  </si>
  <si>
    <t>Rafale (intégration 1 s); maximum annuel en km/h</t>
  </si>
  <si>
    <t>Raffica del vento (su un secondo); massima annuale in km/h</t>
  </si>
  <si>
    <t>Gust peak (one second); annual maximum in km/h</t>
  </si>
  <si>
    <t>fu3010z0</t>
  </si>
  <si>
    <t>Windgeschwindigkeit; Zehnminutenmittel in km/h</t>
  </si>
  <si>
    <t>Vitesse du vent; moyenne sur 10 minutes en km/h</t>
  </si>
  <si>
    <t>Velocità del vento; media su 10' in km/h</t>
  </si>
  <si>
    <t>Wind speed; ten minutes mean in km/h</t>
  </si>
  <si>
    <t>fu3010z1</t>
  </si>
  <si>
    <t>Böenspitze (Sekundenböe); Maximum in km/h</t>
  </si>
  <si>
    <t>Rafale (intégration 1 s); maximum en km/h</t>
  </si>
  <si>
    <t>Raffica del vento (su un secondo); massima in km/h</t>
  </si>
  <si>
    <t>Gust peak (one second); maximum in km/h</t>
  </si>
  <si>
    <t>fu3010z3</t>
  </si>
  <si>
    <t>Böenspitze (3-Sekundenböe); Maximum in km/h</t>
  </si>
  <si>
    <t>Rafale (intégration 3 s); maximum en km/h</t>
  </si>
  <si>
    <t>Raffica del vento (su tre secondi); massima in km/h</t>
  </si>
  <si>
    <t>Gust peak (three seconds); maximum in km/h</t>
  </si>
  <si>
    <t>fve010h0</t>
  </si>
  <si>
    <t>Windgeschwindigkeit vektoriell; Stundenmittel in m/s</t>
  </si>
  <si>
    <t>Vitesse du vent vectorielle; moyenne horaire en m/s</t>
  </si>
  <si>
    <t>Velocità del vento vettoriale; media oraria in m/s</t>
  </si>
  <si>
    <t>Wind speed vectorial; hourly mean in m/s</t>
  </si>
  <si>
    <t>fve010z0</t>
  </si>
  <si>
    <t>Windgeschwindigkeit vektoriell; Zehnminutenmittel in m/s</t>
  </si>
  <si>
    <t>Vitesse du vent vectorielle; moyenne sur 10 minutes en m/s</t>
  </si>
  <si>
    <t>Velocità del vento vettoriale; media su 10' in m/s</t>
  </si>
  <si>
    <t>Wind speed vectoriel; ten minutes mean in m/s</t>
  </si>
  <si>
    <t>gre000d0</t>
  </si>
  <si>
    <t>Globalstrahlung; Tagesmittel</t>
  </si>
  <si>
    <t>Rayonnement global; moyenne journalière</t>
  </si>
  <si>
    <t>Radiazione globale; media giornaliera</t>
  </si>
  <si>
    <t>Global radiation; daily mean</t>
  </si>
  <si>
    <t>Strahlung</t>
  </si>
  <si>
    <t>Rayonnement</t>
  </si>
  <si>
    <t>Radiazione</t>
  </si>
  <si>
    <t>Radiation</t>
  </si>
  <si>
    <t>W/m²</t>
  </si>
  <si>
    <t>gre000h0</t>
  </si>
  <si>
    <t>Globalstrahlung; Stundenmittel</t>
  </si>
  <si>
    <t>Rayonnement global; moyenne horaire</t>
  </si>
  <si>
    <t>Radiazione globale; media oraria</t>
  </si>
  <si>
    <t>Global radiation; hourly mean</t>
  </si>
  <si>
    <t>gre000m0</t>
  </si>
  <si>
    <t>Globalstrahlung; Monatsmittel</t>
  </si>
  <si>
    <t>Rayonnement global; moyenne mensuelle</t>
  </si>
  <si>
    <t>Radiazione globale; media mensile</t>
  </si>
  <si>
    <t>Global radiation; monthly mean</t>
  </si>
  <si>
    <t>gre000y0</t>
  </si>
  <si>
    <t>Globalstrahlung; Jahresmittel</t>
  </si>
  <si>
    <t>Rayonnement global; moyenne annuelle</t>
  </si>
  <si>
    <t>Radiazione globale; media annuale</t>
  </si>
  <si>
    <t>Global radiation; annual mean</t>
  </si>
  <si>
    <t>gre000z0</t>
  </si>
  <si>
    <t>Globalstrahlung; Zehnminutenmittel</t>
  </si>
  <si>
    <t>Rayonnement global; moyenne sur 10 minutes</t>
  </si>
  <si>
    <t>Radiazione globale; media su 10'</t>
  </si>
  <si>
    <t>Global radiation; ten minutes mean</t>
  </si>
  <si>
    <t>htoautd0</t>
  </si>
  <si>
    <t>Schneehöhe (automatisch gemessen); Morgenmessung von 6 UTC</t>
  </si>
  <si>
    <t>Hauteur de neige (mesurée automatiquement); mesure matinale de 6 UTC</t>
  </si>
  <si>
    <t>Altezza del manto nevoso (misurazione automatica); misura delle 6 UTC</t>
  </si>
  <si>
    <t>Snow depth (automatic measurement); morning measurement at 6 UTC</t>
  </si>
  <si>
    <t>Schnee</t>
  </si>
  <si>
    <t>neige</t>
  </si>
  <si>
    <t>neve</t>
  </si>
  <si>
    <t>snow</t>
  </si>
  <si>
    <t>cm</t>
  </si>
  <si>
    <t>htoauths</t>
  </si>
  <si>
    <t>Schneehöhe (automatisch gemessen); stündlicher Momentanwert</t>
  </si>
  <si>
    <t>Hauteur de neige (mesurée automatiquement); valeur instantanée horaire</t>
  </si>
  <si>
    <t>Altezza del manto nevoso (misurazione automatica); valore momentaneo orario</t>
  </si>
  <si>
    <t>Snow depth (automatic measurement); hourly current value</t>
  </si>
  <si>
    <t>htoauts0</t>
  </si>
  <si>
    <t>Schneehöhe (automatisch gemessen); Momentanwert</t>
  </si>
  <si>
    <t>Hauteur de neige (mesurée automatiquement); valeur instantanée</t>
  </si>
  <si>
    <t>Altezza del manto nevoso (misurazione automatica); valore momentaneo</t>
  </si>
  <si>
    <t>Snow depth (automatic measurement); current value</t>
  </si>
  <si>
    <t>ods000d0</t>
  </si>
  <si>
    <t>Diffusstrahlung; Tagesmittel</t>
  </si>
  <si>
    <t>Rayonnement diffus; moyenne journalière</t>
  </si>
  <si>
    <t>Radiazione diffusa; media giornaliera</t>
  </si>
  <si>
    <t>Diffuse radiation; daily mean</t>
  </si>
  <si>
    <t>ods000h0</t>
  </si>
  <si>
    <t>Diffusstrahlung; Stundenmittel</t>
  </si>
  <si>
    <t>Rayonnement diffus; moyenne horaire</t>
  </si>
  <si>
    <t>Radiazione diffusa; media oraria</t>
  </si>
  <si>
    <t>Diffuse radiation; hourly mean</t>
  </si>
  <si>
    <t>ods000z0</t>
  </si>
  <si>
    <t>Diffusstrahlung; Zehnminutenmittel</t>
  </si>
  <si>
    <t>Rayonnement diffus; moyenne sur 10 minutes</t>
  </si>
  <si>
    <t>Radiazione diffusa; media su 10'</t>
  </si>
  <si>
    <t>Diffuse radiation; ten minutes mean</t>
  </si>
  <si>
    <t>oli000d0</t>
  </si>
  <si>
    <t>Langwellige Einstrahlung; Tagesmittel</t>
  </si>
  <si>
    <t>Irradiation par onde longue; moyenne journalière</t>
  </si>
  <si>
    <t>Radiazione a onda lunga in ingresso; media giornaliera</t>
  </si>
  <si>
    <t>Longwave incoming radiation; daily mean</t>
  </si>
  <si>
    <t>oli000h0</t>
  </si>
  <si>
    <t>Langwellige Einstrahlung; Stundenmittel</t>
  </si>
  <si>
    <t>Irradiation par onde longue; moyenne horaire</t>
  </si>
  <si>
    <t>Radiazione a onda lunga in ingresso; media oraria</t>
  </si>
  <si>
    <t>Longwave incoming radiation; hourly mean</t>
  </si>
  <si>
    <t>oli000m0</t>
  </si>
  <si>
    <t>Langwellige Einstrahlung; Monatsmittel</t>
  </si>
  <si>
    <t>Irradiation par onde longue; moyenne mensuelle</t>
  </si>
  <si>
    <t>Radiazione a onda lunga in ingresso; media mensile</t>
  </si>
  <si>
    <t>Longwave incoming radiation; monthly mean</t>
  </si>
  <si>
    <t>oli000y0</t>
  </si>
  <si>
    <t>Langwellige Einstrahlung; Jahresmittel</t>
  </si>
  <si>
    <t>Irradiation par onde longue; moyenne annuelle</t>
  </si>
  <si>
    <t>Radiazione a onda lunga in ingresso; media annuale</t>
  </si>
  <si>
    <t>Longwave incoming radiation; annual mean</t>
  </si>
  <si>
    <t>oli000z0</t>
  </si>
  <si>
    <t>Langwellige Einstrahlung; Zehnminutenmittel</t>
  </si>
  <si>
    <t>Irradiation par onde longue; moyenne sur 10 minutes</t>
  </si>
  <si>
    <t>Radiazione a onda lunga in ingresso; media su 10'</t>
  </si>
  <si>
    <t>Longwave incoming radiation; ten minutes mean</t>
  </si>
  <si>
    <t>olo000d0</t>
  </si>
  <si>
    <t>Langwellige Ausstrahlung; Tagesmittel</t>
  </si>
  <si>
    <t>Rayonnement par onde longue; moyenne journalière</t>
  </si>
  <si>
    <t>Radiazione a onda lunga in uscita; media giornaliera</t>
  </si>
  <si>
    <t>Longwave outgoing radiation; daily mean</t>
  </si>
  <si>
    <t>olo000h0</t>
  </si>
  <si>
    <t>Langwellige Ausstrahlung; Stundenmittel</t>
  </si>
  <si>
    <t>Rayonnement par onde longue; moyenne horaire</t>
  </si>
  <si>
    <t>Radiazione a onda lunga in uscita; media oraria</t>
  </si>
  <si>
    <t>Longwave outgoing radiation; hourly mean</t>
  </si>
  <si>
    <t>olo000m0</t>
  </si>
  <si>
    <t>Langwellige Ausstrahlung; Monatsmittel</t>
  </si>
  <si>
    <t>Rayonnement par onde longue; moyenne mensuelle</t>
  </si>
  <si>
    <t>Radiazione a onda lunga in uscita; media mensile</t>
  </si>
  <si>
    <t>Longwave outgoing radiation; monthly mean</t>
  </si>
  <si>
    <t>olo000y0</t>
  </si>
  <si>
    <t>Langwellige Ausstrahlung; Jahresmittel</t>
  </si>
  <si>
    <t>Rayonnement par onde longue; moyenne annuelle</t>
  </si>
  <si>
    <t>Radiazione a onda lunga in uscita; media annuale</t>
  </si>
  <si>
    <t>Longwave outgoing radiation; yearly mean</t>
  </si>
  <si>
    <t>olo000z0</t>
  </si>
  <si>
    <t>Langwellige Ausstrahlung; Zehnminutenmittel</t>
  </si>
  <si>
    <t>Rayonnement par onde longue; moyenne sur 10 minutes</t>
  </si>
  <si>
    <t>Radiazione a onda lunga in uscita; media su 10'</t>
  </si>
  <si>
    <t>Longwave outgoing radiation; ten minute mean</t>
  </si>
  <si>
    <t>osr000d0</t>
  </si>
  <si>
    <t>Kurzwellig reflektierte Strahlung; Tagesmittel</t>
  </si>
  <si>
    <t>Rayonnement reflété par onde courte; moyenne journalière</t>
  </si>
  <si>
    <t>Radiazione a onda corta rilflessa; media giornaliera</t>
  </si>
  <si>
    <t>Shortwave reflected radiation; daily mean</t>
  </si>
  <si>
    <t>osr000h0</t>
  </si>
  <si>
    <t>Kurzwellig reflektierte Strahlung; Stundenmittel</t>
  </si>
  <si>
    <t>Rayonnement reflété par onde courte; moyenne horaire</t>
  </si>
  <si>
    <t>Radiazione a onda corta rilflessa; media oraria</t>
  </si>
  <si>
    <t>Shortwave reflected radiation; hourly mean</t>
  </si>
  <si>
    <t>osr000m0</t>
  </si>
  <si>
    <t>Kurzwellig reflektierte Strahlung; Monatsmittel</t>
  </si>
  <si>
    <t>Rayonnement reflété par onde courte; moyenne mensuelle</t>
  </si>
  <si>
    <t>Radiazione a onda corta rilflessa; media mensile</t>
  </si>
  <si>
    <t>Shortwave reflected radiation; monthly mean</t>
  </si>
  <si>
    <t>osr000y0</t>
  </si>
  <si>
    <t>Kurzwellig reflektierte Strahlung; Jahresmittel</t>
  </si>
  <si>
    <t>Rayonnement reflété par onde courte; moyenne annuelle</t>
  </si>
  <si>
    <t>Radiazione a onda corta rilflessa; media annuale</t>
  </si>
  <si>
    <t>Shortwave reflected radiation; yearly mean</t>
  </si>
  <si>
    <t>osr000z0</t>
  </si>
  <si>
    <t>Kurzwellig reflektierte Strahlung; Zehnminutenmittel</t>
  </si>
  <si>
    <t>Rayonnement reflété par onde courte; moyenne sur 10 minutes</t>
  </si>
  <si>
    <t>Radiazione a onda corta rilflessa; media su 10'</t>
  </si>
  <si>
    <t>Shortwave reflected radiation; ten minute mean</t>
  </si>
  <si>
    <t>pp0qffd0</t>
  </si>
  <si>
    <t>Luftdruck reduziert auf Meeresniveau (QFF); Tagesmittel</t>
  </si>
  <si>
    <t>Pression atmosphérique réduite au niveau de la mer (QFF); moyenne journalière</t>
  </si>
  <si>
    <t>Pressione ridotta al livello del mare (QFF); media giornaliera</t>
  </si>
  <si>
    <t>Atmospheric pressure reduced to sea level (QFF); daily mean</t>
  </si>
  <si>
    <t>Druck</t>
  </si>
  <si>
    <t>Pression</t>
  </si>
  <si>
    <t>Pressione</t>
  </si>
  <si>
    <t>Pressure</t>
  </si>
  <si>
    <t>hPa</t>
  </si>
  <si>
    <t>pp0qffh0</t>
  </si>
  <si>
    <t>Luftdruck reduziert auf Meeresniveau (QFF); Stundenmittel</t>
  </si>
  <si>
    <t>Pression atmosphérique réduite au niveau de la mer (QFF); moyenne horaire</t>
  </si>
  <si>
    <t>Pressione ridotta al livello del mare (QFF); media oraria</t>
  </si>
  <si>
    <t>Atmospheric pressure reduced to sea level (QFF); hourly mean</t>
  </si>
  <si>
    <t>pp0qffm0</t>
  </si>
  <si>
    <t>Luftdruck reduziert auf Meeresniveau (QFF); Monatsmittel</t>
  </si>
  <si>
    <t>Pression atmosphérique réduite au niveau de la mer (QFF); moyenne mensuelle</t>
  </si>
  <si>
    <t>Pressione ridotta al livello del mare (QFF); media mensile</t>
  </si>
  <si>
    <t>Atmospheric pressure reduced to sea level (QFF); monthly mean</t>
  </si>
  <si>
    <t>pp0qffs0</t>
  </si>
  <si>
    <t>Luftdruck reduziert auf Meeresniveau (QFF); Momentanwert</t>
  </si>
  <si>
    <t>Pression atmosphérique réduite au niveau de la mer (QFF); valeur instantanée</t>
  </si>
  <si>
    <t>Pressione ridotta al livello del mare (QFF); valore momentaneo</t>
  </si>
  <si>
    <t>Atmospheric pressure reduced to sea level (QFF); current value</t>
  </si>
  <si>
    <t>pp0qffy0</t>
  </si>
  <si>
    <t>Luftdruck reduziert auf Meeresniveau (QFF); Jahresmittel</t>
  </si>
  <si>
    <t>Pression atmosphérique réduite au niveau de la mer (QFF); moyenne annuelle</t>
  </si>
  <si>
    <t>Pressione ridotta al livello del mare (QFF); media annuale</t>
  </si>
  <si>
    <t>Atmospheric pressure reduced to sea level (QFF); annual mean</t>
  </si>
  <si>
    <t>pp0qnhd0</t>
  </si>
  <si>
    <t>Luftdruck reduziert auf Meeresniveau mit Standardatmosphäre (QNH); Tagesmittel</t>
  </si>
  <si>
    <t>Pression atmosphérique réduite avec l'atmosphère standard (QNH); moyenne journalière</t>
  </si>
  <si>
    <t>Pressione ridotta secondo l'atmosfero standard (QNH); media giornaliera</t>
  </si>
  <si>
    <t>Atmospheric pressure reduced to sea level according to standard atmosphere (QNH); daily mean</t>
  </si>
  <si>
    <t>pp0qnhh0</t>
  </si>
  <si>
    <t>Luftdruck reduziert auf Meeresniveau mit Standardatmosphäre (QNH); Stundenmittel</t>
  </si>
  <si>
    <t>Pression atmosphérique réduite avec l'atmosphère standard (QNH); moyenne horaire</t>
  </si>
  <si>
    <t>Pressione ridotta secondo l'atmosfero standard (QNH); media oraria</t>
  </si>
  <si>
    <t>Atmospheric pressure reduced to sea level according to standard atmosphere (QNH); hourly mean</t>
  </si>
  <si>
    <t>pp0qnhm0</t>
  </si>
  <si>
    <t>Luftdruck reduziert auf Meeresniveau mit Standardatmosphäre (QNH); Monatsmittel</t>
  </si>
  <si>
    <t>Pression atmosphérique réduite avec l'atmosphère standard (QNH); moyenne mensuelle</t>
  </si>
  <si>
    <t>Pressione ridotta secondo l'atmosfero standard (QNH); media mensile</t>
  </si>
  <si>
    <t>Atmospheric pressure reduced to sea level according to standard atmosphere (QNH); monthly mean</t>
  </si>
  <si>
    <t>pp0qnhs0</t>
  </si>
  <si>
    <t>Luftdruck reduziert auf Meeresniveau mit Standardatmosphäre (QNH); Momentanwert</t>
  </si>
  <si>
    <t>Pression atmosphérique réduite avec l'atmosphère standard (QNH); valeur instantanée</t>
  </si>
  <si>
    <t>Pressione ridotta secondo l'atmosfero standard (QNH); valore momentano</t>
  </si>
  <si>
    <t>Atmospheric pressure reduced to sea level according to standard atmosphere (QNH); current value</t>
  </si>
  <si>
    <t>pp0qnhy0</t>
  </si>
  <si>
    <t>Luftdruck reduziert auf Meeresniveau mit Standardatmosphäre (QNH); Jahresmittel</t>
  </si>
  <si>
    <t>Pression atmosphérique réduite avec l'atmosphère standard (QNH); moyenne annuelle</t>
  </si>
  <si>
    <t>Pressione ridotta secondo l'atmosfero standard (QNH); media annuale</t>
  </si>
  <si>
    <t>Atmospheric pressure reduced to sea level according to standard atmosphere (QNH); annual mean</t>
  </si>
  <si>
    <t>ppz700d0</t>
  </si>
  <si>
    <t>Geopotentielle Höhe der 700 hPa-Fläche; Tagesmittel</t>
  </si>
  <si>
    <t>Altitude géopotentielle de la surface de 700 hPa; moyenne journalière</t>
  </si>
  <si>
    <t>Altitudine geopotenziale del livello di 700 hPa; media giornaliera</t>
  </si>
  <si>
    <t>Geopotential height of the 700 hPA level; daily mean</t>
  </si>
  <si>
    <t>gpm</t>
  </si>
  <si>
    <t>ppz700h0</t>
  </si>
  <si>
    <t>Geopotentielle Höhe der 700 hPa-Fläche; Stundenmittel</t>
  </si>
  <si>
    <t>Altitude géopotentielle de la surface de 700 hPa; moyenne horaire</t>
  </si>
  <si>
    <t>Altitudine geopotenziale del livello di 700 hPa; media oraria</t>
  </si>
  <si>
    <t>Geopotential height of the 700 hPA level; hourly mean</t>
  </si>
  <si>
    <t>ppz700m0</t>
  </si>
  <si>
    <t>Geopotentielle Höhe der 700 hPa-Fläche; Monatsmittel</t>
  </si>
  <si>
    <t>Altitude géopotentielle de la surface de 700 hPa; moyenne mensuelle</t>
  </si>
  <si>
    <t>Altitudine geopotenziale del livello di 700 hPa; media mensile</t>
  </si>
  <si>
    <t>Geopotential height of the 700 hPA level; monthly mean</t>
  </si>
  <si>
    <t>ppz700s0</t>
  </si>
  <si>
    <t>Geopotentielle Höhe der 700 hPa-Fläche; Momentanwert</t>
  </si>
  <si>
    <t>Altitude géopotentielle de la surface de 700 hPa; valeur instantanée</t>
  </si>
  <si>
    <t>Altitudine geopotenziale del livello di 700 hPa; valore momentaneo</t>
  </si>
  <si>
    <t>Geopotential height of the 700 hPA level; current value</t>
  </si>
  <si>
    <t>ppz700y0</t>
  </si>
  <si>
    <t>Geopotentielle Höhe der 700 hPa-Fläche; Jahresmittel</t>
  </si>
  <si>
    <t>Altitude géopotentielle de la surface de 700 hPa; moyenne annuelle</t>
  </si>
  <si>
    <t>Altitudine geopotenziale del livello di 700 hPa; media annuale</t>
  </si>
  <si>
    <t>Geopotential height of the 700 hPA level; yearly mean</t>
  </si>
  <si>
    <t>ppz850d0</t>
  </si>
  <si>
    <t>Geopotentielle Höhe der 850 hPa-Fläche; Tagesmittel</t>
  </si>
  <si>
    <t>Altitude géopotentielle de la surface de 850 hPa; moyenne journalière</t>
  </si>
  <si>
    <t>Altitudine geopotenziale del livello di 850 hPa; media giornaliera</t>
  </si>
  <si>
    <t>Geopotential height of the 850 hPA level; daily mean</t>
  </si>
  <si>
    <t>ppz850h0</t>
  </si>
  <si>
    <t>Geopotentielle Höhe der 850 hPa-Fläche; Stundenmittel</t>
  </si>
  <si>
    <t>Altitude géopotentielle de la surface de 850 hPa; moyenne horaire</t>
  </si>
  <si>
    <t>Altitudine geopotenziale del livello di 850 hPa; media oraria</t>
  </si>
  <si>
    <t>Geopotential height of the 850 hPA level; hourly mean</t>
  </si>
  <si>
    <t>ppz850m0</t>
  </si>
  <si>
    <t>Geopotentielle Höhe der 850 hPa-Fläche; Monatsmittel</t>
  </si>
  <si>
    <t>Altitude géopotentielle de la surface de 850 hPa; moyenne mensuelle</t>
  </si>
  <si>
    <t>Altitudine geopotenziale del livello di 850 hPa; media mensile</t>
  </si>
  <si>
    <t>Geopotential height of the 850 hPA level; monthly mean</t>
  </si>
  <si>
    <t>ppz850s0</t>
  </si>
  <si>
    <t>Geopotentielle Höhe der 850 hPa-Fläche; Momentanwert</t>
  </si>
  <si>
    <t>Altitude géopotentielle de la surface de 850 hPa; valeur instantanée</t>
  </si>
  <si>
    <t>Altitudine geopotenziale del livello di 850 hPa; valore momentaneo</t>
  </si>
  <si>
    <t>Geopotential height of the 850 hPA level; current value</t>
  </si>
  <si>
    <t>ppz850y0</t>
  </si>
  <si>
    <t>Geopotentielle Höhe der 850 hPa-Fläche; Jahresmittel</t>
  </si>
  <si>
    <t>Altitude géopotentielle de la surface de 850 hPa; moyenne annuelle</t>
  </si>
  <si>
    <t>Altitudine geopotenziale del livello di 850 hPa; media annuale</t>
  </si>
  <si>
    <t>Geopotential height of the 850 hPA level; yearly mean</t>
  </si>
  <si>
    <t>prestad0</t>
  </si>
  <si>
    <t>Luftdruck auf Barometerhöhe (QFE); Tagesmittel</t>
  </si>
  <si>
    <t>Pression atmosphérique à l'altitude du baromètre (QFE); moyenne journalière</t>
  </si>
  <si>
    <t>Pressione all'altitudine barometrica (QFE); media giornaliera</t>
  </si>
  <si>
    <t>Atmospheric pressure at barometric altitude (QFE); daily mean</t>
  </si>
  <si>
    <t>prestah0</t>
  </si>
  <si>
    <t>Luftdruck auf Barometerhöhe (QFE); Stundenmittel</t>
  </si>
  <si>
    <t>Pression atmosphérique à l'altitude du baromètre (QFE); moyenne horaire</t>
  </si>
  <si>
    <t>Pressione all'altitudine barometrica (QFE); media oraria</t>
  </si>
  <si>
    <t>Atmospheric pressure at barometric altitude (QFE); hourly mean</t>
  </si>
  <si>
    <t>prestam0</t>
  </si>
  <si>
    <t>Luftdruck auf Barometerhöhe (QFE); Monatsmittel</t>
  </si>
  <si>
    <t>Pression atmosphérique à l'altitude du baromètre (QFE); moyenne mensuelle</t>
  </si>
  <si>
    <t>Pressione all'altitudine barometrica (QFE); media mensile</t>
  </si>
  <si>
    <t>Atmospheric pressure at barometric altitude (QFE); monthly mean</t>
  </si>
  <si>
    <t>prestas0</t>
  </si>
  <si>
    <t>Luftdruck auf Barometerhöhe (QFE); Momentanwert</t>
  </si>
  <si>
    <t>Pression atmosphérique à l'altitude du baromètre (QFE); valeur instantanée</t>
  </si>
  <si>
    <t>Pressione all'altitudine barometrica (QFE); valore momentaneo</t>
  </si>
  <si>
    <t>Atmospheric pressure at barometric altitude (QFE); current value</t>
  </si>
  <si>
    <t>prestay0</t>
  </si>
  <si>
    <t>Luftdruck auf Barometerhöhe (QFE); Jahresmittel</t>
  </si>
  <si>
    <t>Pression atmosphérique à l'altitude du baromètre (QFE); moyenne annuelle</t>
  </si>
  <si>
    <t>Pressione all'altitudine barometrica (QFE); media annuale</t>
  </si>
  <si>
    <t>Atmospheric pressure at barometric altitude (QFE); annual mean</t>
  </si>
  <si>
    <t>pva200d0</t>
  </si>
  <si>
    <t>Dampfdruck 2 m über Boden; Tagesmittel</t>
  </si>
  <si>
    <t>Pression de vapeur à 2 m du sol; moyenne journalière</t>
  </si>
  <si>
    <t>Pressione del vapore acqueo a 2 m dal suolo; media giornaliera</t>
  </si>
  <si>
    <t>Vapour pressure 2 m above ground; daily mean</t>
  </si>
  <si>
    <t>Feuchte</t>
  </si>
  <si>
    <t>Humidité</t>
  </si>
  <si>
    <t>Umidità</t>
  </si>
  <si>
    <t>Humidity</t>
  </si>
  <si>
    <t>pva200h0</t>
  </si>
  <si>
    <t>Dampfdruck 2 m über Boden; Stundenmittel</t>
  </si>
  <si>
    <t>Pression de vapeur à 2 m du sol; moyenne horaire</t>
  </si>
  <si>
    <t>Pressione del vapore acqueo a 2 m dal suolo; media oraria</t>
  </si>
  <si>
    <t>Vapour pressure 2 m above ground; hourly mean</t>
  </si>
  <si>
    <t>pva200m0</t>
  </si>
  <si>
    <t>Dampfdruck 2 m über Boden; Monatsmittel</t>
  </si>
  <si>
    <t>Pression de vapeur à 2 m du sol; moyenne mensuelle</t>
  </si>
  <si>
    <t>Pressione del vapore acqueo a 2 m dal suolo; media mensile</t>
  </si>
  <si>
    <t>Vapour pressure 2 m above ground; monthly mean</t>
  </si>
  <si>
    <t>pva200s0</t>
  </si>
  <si>
    <t>Dampfdruck 2 m über Boden; Momentanwert</t>
  </si>
  <si>
    <t>Pression de vapeur à 2 m du sol; valeur instantanée</t>
  </si>
  <si>
    <t>Pressione del vapore acqueo a 2 m dal suolo; valore momentaneo</t>
  </si>
  <si>
    <t>Vapour pressure 2 m above ground; current value</t>
  </si>
  <si>
    <t>pva200y0</t>
  </si>
  <si>
    <t>Dampfdruck 2 m über Boden; Jahresmittel</t>
  </si>
  <si>
    <t>Pression de vapeur à 2 m du sol; moyenne annuelle</t>
  </si>
  <si>
    <t>Pressione del vapore acqueo a 2 m dal suolo; media annuale</t>
  </si>
  <si>
    <t>Vapour pressure 2 m above ground; annual mean</t>
  </si>
  <si>
    <t>rka150d0</t>
  </si>
  <si>
    <t>Niederschlag; Tagessumme 0 UTC - 0 UTC</t>
  </si>
  <si>
    <t>Précipitations; somme du jour 0 UTC - 0 UTC</t>
  </si>
  <si>
    <t>Precipitazioni; somma giornaliera 0 UTC - 0 UTC</t>
  </si>
  <si>
    <t>Precipitation; daily total 0 UTC - 0 UTC</t>
  </si>
  <si>
    <t>Niederschlag</t>
  </si>
  <si>
    <t>Précipitations</t>
  </si>
  <si>
    <t>Precipitazioni</t>
  </si>
  <si>
    <t>Precipitation</t>
  </si>
  <si>
    <t>mm</t>
  </si>
  <si>
    <t>rre150d0</t>
  </si>
  <si>
    <t>Niederschlag; Tagessumme 6 UTC - 6 UTC Folgetag</t>
  </si>
  <si>
    <t>Précipitations; somme journalière 6 UTC - 6 UTC du jour suivant</t>
  </si>
  <si>
    <t>Precipitazioni; somma giornaliera 6 UTC - 6 UTC del giorno seguente</t>
  </si>
  <si>
    <t>Precipitation; daily total 6 UTC - 6 UTC following day</t>
  </si>
  <si>
    <t>rre150h0</t>
  </si>
  <si>
    <t>Niederschlag; Stundensumme</t>
  </si>
  <si>
    <t>Précipitations; somme horaire</t>
  </si>
  <si>
    <t>Precipitazioni; somma oraria</t>
  </si>
  <si>
    <t>Precipitation; hourly total</t>
  </si>
  <si>
    <t>rre150m0</t>
  </si>
  <si>
    <t>Niederschlag; Monatssumme</t>
  </si>
  <si>
    <t>Précipitations; somme mensuelle</t>
  </si>
  <si>
    <t>Precipitazioni; somma mensile</t>
  </si>
  <si>
    <t>Precipitation; monthly total</t>
  </si>
  <si>
    <t>rre150y0</t>
  </si>
  <si>
    <t>Niederschlag; Jahressumme</t>
  </si>
  <si>
    <t>Précipitations; somme annuelle</t>
  </si>
  <si>
    <t>Precipitazioni; somma annuale</t>
  </si>
  <si>
    <t>Precipitation; annual total</t>
  </si>
  <si>
    <t>rre150z0</t>
  </si>
  <si>
    <t>Niederschlag; Zehnminutensumme</t>
  </si>
  <si>
    <t>Précipitations; sommation sur 10 minutes</t>
  </si>
  <si>
    <t>Precipitazioni; somma su 10'</t>
  </si>
  <si>
    <t>Precipitation; ten minutes total</t>
  </si>
  <si>
    <t>rreetsd0</t>
  </si>
  <si>
    <t>Wassereintrag (Wasserbilanz, R-ETS); Tagessumme</t>
  </si>
  <si>
    <t>Apport d'eau (bilan hydrique, R-ETS); somme journalière</t>
  </si>
  <si>
    <t>Registrazione idrica (bilancio idrico, R-ETS); somma giornaliera</t>
  </si>
  <si>
    <t>Hydrologic registration (hydrologic balance, R-ETS); daily total</t>
  </si>
  <si>
    <t>rreetsm0</t>
  </si>
  <si>
    <t>Wassereintrag (Wasserbilanz, R-ETS); Monatssumme</t>
  </si>
  <si>
    <t>Apport d'eau (bilan hydrique, R-ETS); somme mensuelle</t>
  </si>
  <si>
    <t>Registrazione idrica (bilancio idrico, R-ETS); somma mensile</t>
  </si>
  <si>
    <t>Hydrologic registration (hydrologic balance, R-ETS); monthly total</t>
  </si>
  <si>
    <t>rreetsy0</t>
  </si>
  <si>
    <t>Wassereintrag (Wasserbilanz, R-ETS); Jahressumme</t>
  </si>
  <si>
    <t>Apport d'eau (bilan hydrique, R-ETS); somme annuelle</t>
  </si>
  <si>
    <t>Registrazione idrica (bilancio idrico, R-ETS); somma annuale</t>
  </si>
  <si>
    <t>Hydrologic registration (hydrologic balance, R-ETS); annual total</t>
  </si>
  <si>
    <t>sre000d0</t>
  </si>
  <si>
    <t>Sonnenscheindauer; Tagessumme</t>
  </si>
  <si>
    <t>Durée d'ensoleillement; somme journalière</t>
  </si>
  <si>
    <t>Soleggiamento; somma giornaliera</t>
  </si>
  <si>
    <t>Sunshine duration; daily total</t>
  </si>
  <si>
    <t>Sonne</t>
  </si>
  <si>
    <t>Ensoleillement</t>
  </si>
  <si>
    <t>Soleggiamento</t>
  </si>
  <si>
    <t>Sunshine</t>
  </si>
  <si>
    <t>min</t>
  </si>
  <si>
    <t>sre000h0</t>
  </si>
  <si>
    <t>Sonnenscheindauer; Stundensumme</t>
  </si>
  <si>
    <t>Durée d'ensoleillement; somme horaire</t>
  </si>
  <si>
    <t>Soleggiamento; somma oraria</t>
  </si>
  <si>
    <t>Sunshine duration; hourly total</t>
  </si>
  <si>
    <t>sre000m0</t>
  </si>
  <si>
    <t>Sonnenscheindauer; Monatssumme</t>
  </si>
  <si>
    <t>Durée d'ensoleillement; somme mensuelle</t>
  </si>
  <si>
    <t>Soleggiamento; somma mensile</t>
  </si>
  <si>
    <t>Sunshine duration; monthly total</t>
  </si>
  <si>
    <t>sre000y0</t>
  </si>
  <si>
    <t>Sonnenscheindauer; Jahressumme</t>
  </si>
  <si>
    <t>Durée d'ensoleillement; somme annuelle</t>
  </si>
  <si>
    <t>Soleggiamento; somma annuale</t>
  </si>
  <si>
    <t>Sunshine duration; annual total</t>
  </si>
  <si>
    <t>sre000z0</t>
  </si>
  <si>
    <t>Sonnenscheindauer; Zehnminutensumme</t>
  </si>
  <si>
    <t>Durée d'ensoleillement; sommation sur 10 minutes</t>
  </si>
  <si>
    <t>Soleggiamento; somma su 10'</t>
  </si>
  <si>
    <t>Sunshine duration; ten minutes total</t>
  </si>
  <si>
    <t>sremaxdv</t>
  </si>
  <si>
    <t>Sonnenscheindauer; relativ zur absolut möglichen Tagessumme</t>
  </si>
  <si>
    <t>Durée d'ensoleillement; relativement à la somme journalière maximale possible</t>
  </si>
  <si>
    <t>Soleggiamento; rispetto al massimo giornaliero possibile</t>
  </si>
  <si>
    <t>Sunshine duration; in relation to absolute daily total</t>
  </si>
  <si>
    <t>%</t>
  </si>
  <si>
    <t>sremaxmv</t>
  </si>
  <si>
    <t>Sonnenscheindauer; Verhältnis der Monatssumme zur maximal Möglichen</t>
  </si>
  <si>
    <t>Durée d'ensoleillement; rapport de la somme mensuelle au maximum possible</t>
  </si>
  <si>
    <t>Soleggiamento; somma mensile rispetto al massimo possibile</t>
  </si>
  <si>
    <t>Sunshine duration; relation of the monthly total to the possible maximum</t>
  </si>
  <si>
    <t>sremaxyv</t>
  </si>
  <si>
    <t>Sonnenscheindauer; Verhältnis der Jahressumme zur maximal Möglichen</t>
  </si>
  <si>
    <t>Durée d'ensoleillement; rapport de la somme annuelle au maximum possible</t>
  </si>
  <si>
    <t>Soleggiamento; somma annuale rispetto al massimo possibile</t>
  </si>
  <si>
    <t>Sunshine duration; relation of the annual total to the possible maximum</t>
  </si>
  <si>
    <t>tde200h0</t>
  </si>
  <si>
    <t>Taupunkt 2 m über Boden; Stundenmittel</t>
  </si>
  <si>
    <t>Point de rosée à 2 m du sol; moyenne horaire</t>
  </si>
  <si>
    <t>Punto di rugiada a 2 m dal suolo; media oraria</t>
  </si>
  <si>
    <t>Dew point 2 m above ground; hourly mean</t>
  </si>
  <si>
    <t>°C</t>
  </si>
  <si>
    <t>tde200s0</t>
  </si>
  <si>
    <t>Taupunkt 2 m über Boden; Momentanwert</t>
  </si>
  <si>
    <t>Point de rosée à 2 m du sol; valeur instantanée</t>
  </si>
  <si>
    <t>Punto di rugiada a 2 m dal suolo; valore momentaneo</t>
  </si>
  <si>
    <t>Dew point 2 m above ground; current value</t>
  </si>
  <si>
    <t>tre005d0</t>
  </si>
  <si>
    <t>Lufttemperatur 5 cm über Gras; Tagesmittel</t>
  </si>
  <si>
    <t>Température de l'air à 5 cm de l'herbe; moyenne journalière</t>
  </si>
  <si>
    <t>Temperatura a 5 cm sull'erba; media giornaliera</t>
  </si>
  <si>
    <t>Air temperature at 5 cm above grass; daily mean</t>
  </si>
  <si>
    <t>Temperatur</t>
  </si>
  <si>
    <t>Température</t>
  </si>
  <si>
    <t>Temperatura</t>
  </si>
  <si>
    <t>Temperature</t>
  </si>
  <si>
    <t>tre005dn</t>
  </si>
  <si>
    <t>Lufttemperatur 5 cm über Gras; Tagesminimum</t>
  </si>
  <si>
    <t>Température de l'air à 5 cm de l'herbe; minimum journalier</t>
  </si>
  <si>
    <t>Temperatura a 5 cm sull'erba; minima giornaliera</t>
  </si>
  <si>
    <t>Air temperature at 5 cm above grass; daily minimum</t>
  </si>
  <si>
    <t>tre005dx</t>
  </si>
  <si>
    <t>Lufttemperatur 5 cm über Gras; Tagesmaximum</t>
  </si>
  <si>
    <t>Température de l'air à 5 cm de l'herbe; maximum journalier</t>
  </si>
  <si>
    <t>Temperatura a 5 cm sull'erba; massima giornaliera</t>
  </si>
  <si>
    <t>Air temperature at 5 cm above grass; daily maximum</t>
  </si>
  <si>
    <t>tre005h0</t>
  </si>
  <si>
    <t>Lufttemperatur 5 cm über Gras; Stundenmittel</t>
  </si>
  <si>
    <t>Température de l'air à 5 cm de l'herbe; moyenne horaire</t>
  </si>
  <si>
    <t>Temperatura a 5 cm sull'erba; media oraria</t>
  </si>
  <si>
    <t>Air temperature at 5 cm above grass; hourly mean</t>
  </si>
  <si>
    <t>tre005hn</t>
  </si>
  <si>
    <t>Lufttemperatur 5 cm über Gras; Stundenminimum</t>
  </si>
  <si>
    <t>Température de l'air à 5 cm de l'herbe; minimum horaire</t>
  </si>
  <si>
    <t>Temperatura a 5 cm sull'erba; minima oraria</t>
  </si>
  <si>
    <t>Air temperature at 5 cm above grass; hourly minimum</t>
  </si>
  <si>
    <t>tre005m0</t>
  </si>
  <si>
    <t>Lufttemperatur 5 cm über Gras; Monatsmittel</t>
  </si>
  <si>
    <t>Température de l'air à 5 cm de l'herbe; moyenne mensuelle</t>
  </si>
  <si>
    <t>Temperatura a 5 cm sull'erba; media mensile</t>
  </si>
  <si>
    <t>Air temperature at 5 cm above grass; monthly mean</t>
  </si>
  <si>
    <t>tre005mn</t>
  </si>
  <si>
    <t>Lufttemperatur 5 cm über Gras; absolutes Monatsminimum</t>
  </si>
  <si>
    <t>Température de l'air à 5 cm de l'herbe; minimum mensuel absolu</t>
  </si>
  <si>
    <t>Temperatura a 5 cm sull'erba; minima mensile assoluta</t>
  </si>
  <si>
    <t>Air temperature at 5 cm above grass; absolute monthly minimum</t>
  </si>
  <si>
    <t>tre005mx</t>
  </si>
  <si>
    <t>Lufttemperatur 5 cm über Gras; absolutes Monatsmaximum</t>
  </si>
  <si>
    <t>Température de l'air à 5 cm de l'herbe; maximum mensuel absolu</t>
  </si>
  <si>
    <t>Temperatura a 5 cm sull'erba; massima mensile assoluta</t>
  </si>
  <si>
    <t>Air temperature at 5 cm above grass; absolute monthly maximum</t>
  </si>
  <si>
    <t>tre005s0</t>
  </si>
  <si>
    <t>Lufttemperatur 5 cm über Gras; Momentanwert</t>
  </si>
  <si>
    <t>Température de l'air à 5 cm de l'herbe; valeur instantanée</t>
  </si>
  <si>
    <t>Temperatura a 5 cm sull'erba; valore momentaneo</t>
  </si>
  <si>
    <t>Air temperature at 5 cm above grass; current value</t>
  </si>
  <si>
    <t>tre005y0</t>
  </si>
  <si>
    <t>Lufttemperatur 5 cm über Gras; Jahresmittel</t>
  </si>
  <si>
    <t>Température de l'air à 5 cm de l'herbe; moyenne annuelle</t>
  </si>
  <si>
    <t>Temperatura a 5 cm sull'erba; media annuale</t>
  </si>
  <si>
    <t>Air temperature at 5 cm above grass; annual mean</t>
  </si>
  <si>
    <t>tre005yn</t>
  </si>
  <si>
    <t>Lufttemperatur 5 cm über Gras; absolutes Jahresminimum</t>
  </si>
  <si>
    <t>Température de l'air à 5 cm de l'herbe; minimum annuel absolu</t>
  </si>
  <si>
    <t>Temperatura a 5 cm sull'erba; minima annuale assoluta</t>
  </si>
  <si>
    <t>Air temperature at 5 cm above grass; absolute annual minimum</t>
  </si>
  <si>
    <t>tre005yx</t>
  </si>
  <si>
    <t>Lufttemperatur 5 cm über Gras; absolutes Jahresmaximum</t>
  </si>
  <si>
    <t>Température de l'air à 5 cm de l'herbe; maximum annuel absolu</t>
  </si>
  <si>
    <t>Temperatura a 5 cm sull'erba; massima annuale assoluta</t>
  </si>
  <si>
    <t>Air temperature at 5 cm above grass; absolute annual maximum</t>
  </si>
  <si>
    <t>tre200d0</t>
  </si>
  <si>
    <t>Lufttemperatur 2 m über Boden; Tagesmittel</t>
  </si>
  <si>
    <t>Température de l'air à 2 m du sol; moyenne journalière</t>
  </si>
  <si>
    <t>Temperatura dell'aria a 2 m dal suolo; media giornaliera</t>
  </si>
  <si>
    <t>Air temperature 2 m above ground; daily mean</t>
  </si>
  <si>
    <t>tre200dn</t>
  </si>
  <si>
    <t>Lufttemperatur 2 m über Boden; Tagesminimum</t>
  </si>
  <si>
    <t>Température de l'air à 2 m du sol; minimum journalier</t>
  </si>
  <si>
    <t>Temperatura dell'aria a 2 m dal suolo; minima giornaliera</t>
  </si>
  <si>
    <t>Air temperature 2 m above ground; daily minimum</t>
  </si>
  <si>
    <t>tre200dx</t>
  </si>
  <si>
    <t>Lufttemperatur 2 m über Boden; Tagesmaximum</t>
  </si>
  <si>
    <t>Température de l'air à 2 m du sol; maximum journalier</t>
  </si>
  <si>
    <t>Temperatura dell'aria a 2 m dal suolo; massima giornaliera</t>
  </si>
  <si>
    <t>Air temperature 2 m above ground; daily maximum</t>
  </si>
  <si>
    <t>tre200h0</t>
  </si>
  <si>
    <t>Lufttemperatur 2 m über Boden; Stundenmittel</t>
  </si>
  <si>
    <t>Température de l'air à 2 m du sol; moyenne horaire</t>
  </si>
  <si>
    <t>Temperatura dell'aria a 2 m dal suolo; media oraria</t>
  </si>
  <si>
    <t>Air temperature 2 m above ground; hourly mean</t>
  </si>
  <si>
    <t>tre200hn</t>
  </si>
  <si>
    <t>Lufttemperatur 2 m über Boden; Stundenminimum</t>
  </si>
  <si>
    <t>Température de l'air à 2 m du sol; minimum horaire</t>
  </si>
  <si>
    <t>Temperatura dell'aria a 2 m dal suolo; minima oraria</t>
  </si>
  <si>
    <t>Air temperature 2 m above ground; hourly minimum</t>
  </si>
  <si>
    <t>tre200hx</t>
  </si>
  <si>
    <t>Lufttemperatur 2 m über Boden; Stundenmaximum</t>
  </si>
  <si>
    <t>Température de l'air à 2 m du sol; maximum horaire</t>
  </si>
  <si>
    <t>Temperatura dell'aria a 2 m dal suolo; massima oraria</t>
  </si>
  <si>
    <t>Air temperature 2 m above ground; hourly maximum</t>
  </si>
  <si>
    <t>tre200m0</t>
  </si>
  <si>
    <t>Lufttemperatur 2 m über Boden; Monatsmittel</t>
  </si>
  <si>
    <t>Température de l'air à 2 m du sol; moyenne mensuelle</t>
  </si>
  <si>
    <t>Temperatura dell'aria a 2 m dal suolo; media mensile</t>
  </si>
  <si>
    <t>Air temperature 2 m above ground; monthly mean</t>
  </si>
  <si>
    <t>tre200mn</t>
  </si>
  <si>
    <t>Lufttemperatur 2 m über Boden; absolutes Monatsminimum</t>
  </si>
  <si>
    <t>Température de l'air à 2 m du sol; minimum mensuel absolu</t>
  </si>
  <si>
    <t>Temperatura dell'aria a 2 m dal suolo; minima mensile assoluta</t>
  </si>
  <si>
    <t>Air temperature 2 m above ground; absolute monthly minimum</t>
  </si>
  <si>
    <t>tre200mx</t>
  </si>
  <si>
    <t>Lufttemperatur 2 m über Boden; absolutes Monatsmaximum</t>
  </si>
  <si>
    <t>Température de l'air à 2 m du sol; maximum mensuel absolu</t>
  </si>
  <si>
    <t>Temperatura dell'aria a 2 m dal suolo; massima mensile assoluta</t>
  </si>
  <si>
    <t>Air temperature 2 m above ground; absolute monthly maximum</t>
  </si>
  <si>
    <t>tre200s0</t>
  </si>
  <si>
    <t>Lufttemperatur 2 m über Boden; Momentanwert</t>
  </si>
  <si>
    <t>Température de l'air à 2 m du sol; valeur instantanée</t>
  </si>
  <si>
    <t>Temperatura dell'aria a 2 m dal suolo; valore momentaneo</t>
  </si>
  <si>
    <t>Air temperature 2 m above ground; current value</t>
  </si>
  <si>
    <t>tre200y0</t>
  </si>
  <si>
    <t>Lufttemperatur 2 m über Boden; Jahresmittel</t>
  </si>
  <si>
    <t>Température de l'air à 2 m du sol; moyenne annuelle</t>
  </si>
  <si>
    <t>Temperatura dell'aria a 2 m dal suolo; media annuale</t>
  </si>
  <si>
    <t>Air temperature 2 m above ground; annual mean</t>
  </si>
  <si>
    <t>tre200yn</t>
  </si>
  <si>
    <t>Lufttemperatur 2 m über Boden; absolutes Jahresminimum</t>
  </si>
  <si>
    <t>Température de l'air à 2 m du sol; minimum annuel absolu</t>
  </si>
  <si>
    <t>Temperatura dell'aria a 2 m dal suolo; minima annuale assoluta</t>
  </si>
  <si>
    <t>Air temperature 2 m above ground; absolute annual minimum</t>
  </si>
  <si>
    <t>tre200yx</t>
  </si>
  <si>
    <t>Lufttemperatur 2 m über Boden; absolutes Jahresmaximum</t>
  </si>
  <si>
    <t>Température de l'air à 2 m du sol; maximum annuel absolu</t>
  </si>
  <si>
    <t>Temperatura dell'aria a 2 m dal suolo; massima annuale assoluta</t>
  </si>
  <si>
    <t>Air temperature 2 m above ground; absolute annual maximum</t>
  </si>
  <si>
    <t>tresurs0</t>
  </si>
  <si>
    <t>Lufttemperatur Bodenoberfläche; Momentanwert</t>
  </si>
  <si>
    <t>Température de l'air à la surface du sol; valeur instantanée</t>
  </si>
  <si>
    <t>Temperatura dell'aria al livello del suolo; valore momentaneo</t>
  </si>
  <si>
    <t>Air temperature at surface; current value</t>
  </si>
  <si>
    <t>ure200d0</t>
  </si>
  <si>
    <t>Relative Luftfeuchtigkeit 2 m über Boden; Tagesmittel</t>
  </si>
  <si>
    <t>Humidité de l'air relative à 2 m du sol; moyenne journalière</t>
  </si>
  <si>
    <t>Umidità relativa dell'aria a 2 m dal suolo; media giornaliera</t>
  </si>
  <si>
    <t>Relative air humidity 2 m above ground; daily mean</t>
  </si>
  <si>
    <t>ure200h0</t>
  </si>
  <si>
    <t>Relative Luftfeuchtigkeit 2 m über Boden; Stundenmittel</t>
  </si>
  <si>
    <t>Humidité de l'air relative à 2 m du sol; moyenne horaire</t>
  </si>
  <si>
    <t>Umidità relativa dell'aria a 2 m dal suolo; media oraria</t>
  </si>
  <si>
    <t>Relative air humidity 2 m above ground; hourly mean</t>
  </si>
  <si>
    <t>ure200m0</t>
  </si>
  <si>
    <t>Relative Luftfeuchtigkeit 2 m über Boden; Monatsmittel</t>
  </si>
  <si>
    <t>Humidité de l'air relative à 2 m du sol; moyenne mensuelle</t>
  </si>
  <si>
    <t>Umidità relativa dell'aria a 2 m dal suolo; media mensile</t>
  </si>
  <si>
    <t>Relative air humidity 2 m above ground; monthly mean</t>
  </si>
  <si>
    <t>ure200s0</t>
  </si>
  <si>
    <t>Relative Luftfeuchtigkeit 2 m über Boden; Momentanwert</t>
  </si>
  <si>
    <t>Humidité de l'air relative à 2 m du sol; valeur instantanée</t>
  </si>
  <si>
    <t>Umidità relativa dell'aria a 2 m dal suolo; valore momentaneo</t>
  </si>
  <si>
    <t>Relative air humidity 2 m above ground; current value</t>
  </si>
  <si>
    <t>ure200y0</t>
  </si>
  <si>
    <t>Relative Luftfeuchtigkeit 2 m über Boden; Jahresmittel</t>
  </si>
  <si>
    <t>Humidité de l'air relative à 2 m du sol; moyenne annuelle</t>
  </si>
  <si>
    <t>Umidità relativa dell'aria a 2 m dal suolo; media annuale</t>
  </si>
  <si>
    <t>Relative air humidity 2 m above ground; annual mean</t>
  </si>
  <si>
    <t>wcc006d0</t>
  </si>
  <si>
    <t>Föhnindex, Tageswert</t>
  </si>
  <si>
    <t>Foehn index; valeur journalière</t>
  </si>
  <si>
    <t>Indice di favonio; valore giornaliera</t>
  </si>
  <si>
    <t>Foehn index; daily value</t>
  </si>
  <si>
    <t>wcc006h0</t>
  </si>
  <si>
    <t>Föhnindex; Stundenwert</t>
  </si>
  <si>
    <t>Foehn index; valeur horaire</t>
  </si>
  <si>
    <t>Indice di favonio; valore oraria</t>
  </si>
  <si>
    <t>Foehn index; hour value</t>
  </si>
  <si>
    <t>wcc006s0</t>
  </si>
  <si>
    <t>Föhnindex</t>
  </si>
  <si>
    <t>Foehn index</t>
  </si>
  <si>
    <t>Indice di favonio</t>
  </si>
  <si>
    <t>Code</t>
  </si>
  <si>
    <t>xcd000d0</t>
  </si>
  <si>
    <t>Kühlgradzahl (CDD: Cooling Degree Day, nach USA)</t>
  </si>
  <si>
    <t>Jours de refroidissment (CDD)</t>
  </si>
  <si>
    <t>Giorni di raffredamento (CDD)</t>
  </si>
  <si>
    <t>Cooling Degree Day (CDD)</t>
  </si>
  <si>
    <t>xcd000m0</t>
  </si>
  <si>
    <t>Kühlgradzahl (CDD nach USA); Monatssumme</t>
  </si>
  <si>
    <t>Jours de refroidissment (CDD); somme mensuelle</t>
  </si>
  <si>
    <t>Giorni di raffredamento (CDD); totale mensile</t>
  </si>
  <si>
    <t>Cooling Degree Day (CDD); monthly total</t>
  </si>
  <si>
    <t>xcd000y0</t>
  </si>
  <si>
    <t>Kühlgradzahl (CDD nach USA); Jahressumme</t>
  </si>
  <si>
    <t>Jours de refroidissment (CDD); somme annuelle</t>
  </si>
  <si>
    <t>Giorni di raffredamento (CDD); somma annuale</t>
  </si>
  <si>
    <t>Cooling Degree Day (CDD); annual total</t>
  </si>
  <si>
    <t>xchills0</t>
  </si>
  <si>
    <t>Chill Temperatur; Momentanwert</t>
  </si>
  <si>
    <t>Chill température; valeur instantanée</t>
  </si>
  <si>
    <t>Temperatura fredda; valore momentaneo</t>
  </si>
  <si>
    <t>Chill temperature; current value</t>
  </si>
  <si>
    <t>xno000d0</t>
  </si>
  <si>
    <t>Heizgradzahl 12/20 (SIA: Heizgradtage)</t>
  </si>
  <si>
    <t>Degrés jours (HGT12/20)</t>
  </si>
  <si>
    <t>Gradi riscaldamento (12/20)</t>
  </si>
  <si>
    <t>Heating degrees (HGT12/20)</t>
  </si>
  <si>
    <t>xno000m0</t>
  </si>
  <si>
    <t>Heizgradzahl 12/20 (SIA: Heizgradtage); Monatssumme</t>
  </si>
  <si>
    <t>Degrés jours (HGT12/20); somme mensuelle</t>
  </si>
  <si>
    <t>Gradi riscaldamento (12/20); somma mensile</t>
  </si>
  <si>
    <t>Heating degrees (HGT12/20); monthly total</t>
  </si>
  <si>
    <t>xno000y0</t>
  </si>
  <si>
    <t>Heizgradzahl 12/20 (SIA: Heizgradtage); Jahressumme</t>
  </si>
  <si>
    <t>Degrés jours (HGT12/20); somme annuelle</t>
  </si>
  <si>
    <t>Gradi riscaldamento (12/20); somma annuale</t>
  </si>
  <si>
    <t>Heating degrees (HGT12/20); annual total</t>
  </si>
  <si>
    <t>xno012d0</t>
  </si>
  <si>
    <t>Heizgradtage ATD12</t>
  </si>
  <si>
    <t>Degrés jours (ATD12/12)</t>
  </si>
  <si>
    <t>Gradi riscaldamento (ATD12/12)</t>
  </si>
  <si>
    <t>Heating degrees (ATD12/12)</t>
  </si>
  <si>
    <t>xno012m0</t>
  </si>
  <si>
    <t>Heizgradtage ATD12; Monatssumme</t>
  </si>
  <si>
    <t>Degrés jours (ATD12/12); somme mensuelle</t>
  </si>
  <si>
    <t>Gradi riscaldamento (ATD12/12); somma mensile</t>
  </si>
  <si>
    <t>Heating degrees (ATD12/12); monthly total</t>
  </si>
  <si>
    <t>xno012y0</t>
  </si>
  <si>
    <t>Heizgradtage ATD12; Jahressumme</t>
  </si>
  <si>
    <t>Degrés jours (ATD12/12); somme annuelle</t>
  </si>
  <si>
    <t>Gradi riscaldamento (ATD12/12); somma annuale</t>
  </si>
  <si>
    <t>Heating degrees (ATD12/12); annual total</t>
  </si>
  <si>
    <t>NW</t>
  </si>
  <si>
    <t>AR</t>
  </si>
  <si>
    <t xml:space="preserve">        /// &lt;summary&gt;</t>
  </si>
  <si>
    <t xml:space="preserve">        /// Station abbreviation.</t>
  </si>
  <si>
    <t xml:space="preserve">        /// &lt;/summary&gt;</t>
  </si>
  <si>
    <t xml:space="preserve">        [Name("station_abbr")]</t>
  </si>
  <si>
    <t xml:space="preserve">        public string StationAbbr { get; set; } = string.Empty;</t>
  </si>
  <si>
    <t xml:space="preserve">        /// Reference timestamp of the measurement.</t>
  </si>
  <si>
    <t xml:space="preserve">        [Name("reference_timestamp"), TypeConverter(typeof(DateTimeCustomFormatConverter))]</t>
  </si>
  <si>
    <t xml:space="preserve">        public DateTime ReferenceTimestamp { get; set; }</t>
  </si>
  <si>
    <t xml:space="preserve">        /// Air temperature 2 m above ground; current value in °C.</t>
  </si>
  <si>
    <t xml:space="preserve">        [Name("tre200s0"), TypeConverter(typeof(NullableDoubleConverter))]</t>
  </si>
  <si>
    <t xml:space="preserve">        public double? Temperature2m { get; set; }</t>
  </si>
  <si>
    <t xml:space="preserve">        /// Air temperature at 5 cm above grass; current value in °C.</t>
  </si>
  <si>
    <t xml:space="preserve">        [Name("tre005s0"), TypeConverter(typeof(NullableDoubleConverter))]</t>
  </si>
  <si>
    <t xml:space="preserve">        public double? Temperature5cm { get; set; }</t>
  </si>
  <si>
    <t xml:space="preserve">        /// Air temperature at surface; current value in °C.</t>
  </si>
  <si>
    <t xml:space="preserve">        [Name("tresurs0"), TypeConverter(typeof(NullableDoubleConverter))]</t>
  </si>
  <si>
    <t xml:space="preserve">        public double? TemperatureSurface { get; set; }</t>
  </si>
  <si>
    <t xml:space="preserve">        /// Chill temperature; current value in °C.</t>
  </si>
  <si>
    <t xml:space="preserve">        [Name("xchills0"), TypeConverter(typeof(NullableDoubleConverter))]</t>
  </si>
  <si>
    <t xml:space="preserve">        public double? WindChill { get; set; }</t>
  </si>
  <si>
    <t xml:space="preserve">        /// Relative air humidity 2 m above ground; current value in %.</t>
  </si>
  <si>
    <t xml:space="preserve">        [Name("ure200s0"), TypeConverter(typeof(NullableDoubleConverter))]</t>
  </si>
  <si>
    <t xml:space="preserve">        public double? RelativeHumidity2m { get; set; }</t>
  </si>
  <si>
    <t xml:space="preserve">        /// Dew point 2 m above ground; current value in °C.</t>
  </si>
  <si>
    <t xml:space="preserve">        [Name("tde200s0"), TypeConverter(typeof(NullableDoubleConverter))]</t>
  </si>
  <si>
    <t xml:space="preserve">        public double? DewPoint2m { get; set; }</t>
  </si>
  <si>
    <t xml:space="preserve">        /// Vapour pressure 2 m above ground; current value in hPa.</t>
  </si>
  <si>
    <t xml:space="preserve">        [Name("pva200s0"), TypeConverter(typeof(NullableDoubleConverter))]</t>
  </si>
  <si>
    <t xml:space="preserve">        public double? VaporPressure2m { get; set; }</t>
  </si>
  <si>
    <t xml:space="preserve">        /// Atmospheric pressure at barometric altitude (QFE); current value in hPa.</t>
  </si>
  <si>
    <t xml:space="preserve">        [Name("prestas0"), TypeConverter(typeof(NullableDoubleConverter))]</t>
  </si>
  <si>
    <t xml:space="preserve">        public double? PressureAtStation { get; set; }</t>
  </si>
  <si>
    <t xml:space="preserve">        /// Atmospheric pressure reduced to sea level according to standard atmosphere (QNH); current value in hPa.</t>
  </si>
  <si>
    <t xml:space="preserve">        [Name("pp0qnhs0"), TypeConverter(typeof(NullableDoubleConverter))]</t>
  </si>
  <si>
    <t xml:space="preserve">        public double? PressureQNH { get; set; }</t>
  </si>
  <si>
    <t xml:space="preserve">        /// Atmospheric pressure reduced to sea level (QFF); current value in hPa.</t>
  </si>
  <si>
    <t xml:space="preserve">        [Name("pp0qffs0"), TypeConverter(typeof(NullableDoubleConverter))]</t>
  </si>
  <si>
    <t xml:space="preserve">        public double? PressureQFF { get; set; }</t>
  </si>
  <si>
    <t xml:space="preserve">        /// Geopotential height of the 850 hPa level; current value in gpm.</t>
  </si>
  <si>
    <t xml:space="preserve">        [Name("ppz850s0"), TypeConverter(typeof(NullableDoubleConverter))]</t>
  </si>
  <si>
    <t xml:space="preserve">        public double? GeopotentialHeight850hPa { get; set; }</t>
  </si>
  <si>
    <t xml:space="preserve">        /// Geopotential height of the 700 hPa level; current value in gpm.</t>
  </si>
  <si>
    <t xml:space="preserve">        [Name("ppz700s0"), TypeConverter(typeof(NullableDoubleConverter))]</t>
  </si>
  <si>
    <t xml:space="preserve">        public double? GeopotentialHeight700hPa { get; set; }</t>
  </si>
  <si>
    <t xml:space="preserve">        /// Gust peak (one second); maximum in m/s.</t>
  </si>
  <si>
    <t xml:space="preserve">        [Name("fkl010z1"), TypeConverter(typeof(NullableDoubleConverter))]</t>
  </si>
  <si>
    <t xml:space="preserve">        public double? WindGust1s { get; set; }</t>
  </si>
  <si>
    <t xml:space="preserve">        /// Wind speed vectorial; ten minutes mean in m/s.</t>
  </si>
  <si>
    <t xml:space="preserve">        [Name("fve010z0"), TypeConverter(typeof(NullableDoubleConverter))]</t>
  </si>
  <si>
    <t xml:space="preserve">        public double? WindSpeedVectorial10min { get; set; }</t>
  </si>
  <si>
    <t xml:space="preserve">        /// Wind speed scalar; ten minutes mean in m/s.</t>
  </si>
  <si>
    <t xml:space="preserve">        [Name("fkl010z0"), TypeConverter(typeof(NullableDoubleConverter))]</t>
  </si>
  <si>
    <t xml:space="preserve">        public double? WindSpeedScalar10min { get; set; }</t>
  </si>
  <si>
    <t xml:space="preserve">        /// Wind direction; ten minutes mean in °.</t>
  </si>
  <si>
    <t xml:space="preserve">        [Name("dkl010z0"), TypeConverter(typeof(NullableDoubleConverter))]</t>
  </si>
  <si>
    <t xml:space="preserve">        public double? WindDirection { get; set; }</t>
  </si>
  <si>
    <t xml:space="preserve">        /// Foehn index; Code.</t>
  </si>
  <si>
    <t xml:space="preserve">        [Name("wcc006s0"), TypeConverter(typeof(NullableDoubleConverter))]</t>
  </si>
  <si>
    <t xml:space="preserve">        public double? FoehnIndex { get; set; }</t>
  </si>
  <si>
    <t xml:space="preserve">        /// Wind speed; ten minutes mean in km/h.</t>
  </si>
  <si>
    <t xml:space="preserve">        [Name("fu3010z0"), TypeConverter(typeof(NullableDoubleConverter))]</t>
  </si>
  <si>
    <t xml:space="preserve">        public double? WindSpeed10min_kmh { get; set; }</t>
  </si>
  <si>
    <t xml:space="preserve">        /// Gust peak (three seconds); maximum in m/s.</t>
  </si>
  <si>
    <t xml:space="preserve">        [Name("fkl010z3"), TypeConverter(typeof(NullableDoubleConverter))]</t>
  </si>
  <si>
    <t xml:space="preserve">        public double? WindGust3s { get; set; }</t>
  </si>
  <si>
    <t xml:space="preserve">        /// Gust peak (one second); maximum in km/h.</t>
  </si>
  <si>
    <t xml:space="preserve">        [Name("fu3010z1"), TypeConverter(typeof(NullableDoubleConverter))]</t>
  </si>
  <si>
    <t xml:space="preserve">        public double? WindGust1s_kmh { get; set; }</t>
  </si>
  <si>
    <t xml:space="preserve">        /// Gust peak (three seconds); maximum in km/h.</t>
  </si>
  <si>
    <t xml:space="preserve">        [Name("fu3010z3"), TypeConverter(typeof(NullableDoubleConverter))]</t>
  </si>
  <si>
    <t xml:space="preserve">        public double? WindGust3s_kmh { get; set; }</t>
  </si>
  <si>
    <t xml:space="preserve">        /// Precipitation; ten minutes total in mm.</t>
  </si>
  <si>
    <t xml:space="preserve">        [Name("rre150z0"), TypeConverter(typeof(NullableDoubleConverter))]</t>
  </si>
  <si>
    <t xml:space="preserve">        public double? Precipitation { get; set; }</t>
  </si>
  <si>
    <t xml:space="preserve">        /// Snow depth (automatic measurement); current value in cm.</t>
  </si>
  <si>
    <t xml:space="preserve">        [Name("htoauts0"), TypeConverter(typeof(NullableDoubleConverter))]</t>
  </si>
  <si>
    <t xml:space="preserve">        public double? SnowDepth { get; set; }</t>
  </si>
  <si>
    <t xml:space="preserve">        /// Global radiation; ten minutes mean in W/m².</t>
  </si>
  <si>
    <t xml:space="preserve">        [Name("gre000z0"), TypeConverter(typeof(NullableDoubleConverter))]</t>
  </si>
  <si>
    <t xml:space="preserve">        public double? GlobalRadiation { get; set; }</t>
  </si>
  <si>
    <t xml:space="preserve">        /// Diffuse radiation; ten minutes mean in W/m².</t>
  </si>
  <si>
    <t xml:space="preserve">        [Name("ods000z0"), TypeConverter(typeof(NullableDoubleConverter))]</t>
  </si>
  <si>
    <t xml:space="preserve">        public double? DiffuseRadiation { get; set; }</t>
  </si>
  <si>
    <t xml:space="preserve">        /// Longwave incoming radiation; ten minutes mean in W/m².</t>
  </si>
  <si>
    <t xml:space="preserve">        [Name("oli000z0"), TypeConverter(typeof(NullableDoubleConverter))]</t>
  </si>
  <si>
    <t xml:space="preserve">        public double? LongwaveRadiationIncoming { get; set; }</t>
  </si>
  <si>
    <t xml:space="preserve">        /// Longwave outgoing radiation; ten minute mean in W/m².</t>
  </si>
  <si>
    <t xml:space="preserve">        [Name("olo000z0"), TypeConverter(typeof(NullableDoubleConverter))]</t>
  </si>
  <si>
    <t xml:space="preserve">        public double? LongwaveRadiationOutgoing { get; set; }</t>
  </si>
  <si>
    <t xml:space="preserve">        /// Shortwave reflected radiation; ten minute mean in W/m².</t>
  </si>
  <si>
    <t xml:space="preserve">        [Name("osr000z0"), TypeConverter(typeof(NullableDoubleConverter))]</t>
  </si>
  <si>
    <t xml:space="preserve">        public double? ShortwaveRadiationReflected { get; set; }</t>
  </si>
  <si>
    <t xml:space="preserve">        /// Sunshine duration; ten minutes total in min.</t>
  </si>
  <si>
    <t xml:space="preserve">        [Name("sre000z0"), TypeConverter(typeof(NullableDoubleConverter))]</t>
  </si>
  <si>
    <t xml:space="preserve">        public double? SunshineDuration { get; set; }</t>
  </si>
  <si>
    <t xml:space="preserve"> { </t>
  </si>
  <si>
    <t xml:space="preserve">/// </t>
  </si>
  <si>
    <t>.</t>
  </si>
  <si>
    <t xml:space="preserve">public </t>
  </si>
  <si>
    <t xml:space="preserve"> </t>
  </si>
  <si>
    <t>FieldName</t>
  </si>
  <si>
    <t>Description</t>
  </si>
  <si>
    <t>Source</t>
  </si>
  <si>
    <t>Lookup</t>
  </si>
  <si>
    <t>[Name("</t>
  </si>
  <si>
    <t>")</t>
  </si>
  <si>
    <t>WindSpeedScalar10min</t>
  </si>
  <si>
    <t>WindDirection</t>
  </si>
  <si>
    <t>Wind direction; ten minutes mean in °</t>
  </si>
  <si>
    <t>FoehnIndex</t>
  </si>
  <si>
    <t>Foehn index; Code</t>
  </si>
  <si>
    <t>WindSpeed10min_kmh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</si>
</sst>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1" fillId="0" borderId="0" xfId="0" applyFont="1"/>
    <xf numFmtId="0" fontId="1" fillId="3" borderId="0" xfId="0" applyFont="1" applyFill="1" applyAlignment="1">
      <alignment horizontal="right"/>
    </xf>
    <xf numFmtId="0" fontId="1" fillId="3" borderId="0" xfId="0" applyFont="1" applyFill="1"/>
    <xf numFmtId="0" fontId="1" fillId="0" borderId="0" xfId="0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6" borderId="0" xfId="0" applyFont="1" applyFill="1"/>
    <xf numFmtId="0" fontId="0" fillId="10" borderId="0" xfId="0" applyFill="1"/>
    <xf numFmtId="0" fontId="1" fillId="10" borderId="0" xfId="0" applyFont="1" applyFill="1"/>
    <xf numFmtId="0" fontId="0" fillId="4" borderId="0" xfId="0" applyFill="1" applyAlignment="1">
      <alignment horizontal="center"/>
    </xf>
    <xf numFmtId="0" fontId="1" fillId="9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6C6C3A1-9595-403E-8725-B51840571816}" autoFormatId="16" applyNumberFormats="0" applyBorderFormats="0" applyFontFormats="0" applyPatternFormats="0" applyAlignmentFormats="0" applyWidthHeightFormats="0">
  <queryTableRefresh nextId="25">
    <queryTableFields count="24">
      <queryTableField id="1" name="station_abbr" tableColumnId="1"/>
      <queryTableField id="2" name="station_name" tableColumnId="2"/>
      <queryTableField id="3" name="station_canton" tableColumnId="3"/>
      <queryTableField id="4" name="station_wigos_id" tableColumnId="4"/>
      <queryTableField id="5" name="station_type_de" tableColumnId="5"/>
      <queryTableField id="6" name="station_type_fr" tableColumnId="6"/>
      <queryTableField id="7" name="station_type_it" tableColumnId="7"/>
      <queryTableField id="8" name="station_type_en" tableColumnId="8"/>
      <queryTableField id="9" name="station_dataowner" tableColumnId="9"/>
      <queryTableField id="10" name="station_data_since" tableColumnId="10"/>
      <queryTableField id="11" name="station_height_masl" tableColumnId="11"/>
      <queryTableField id="12" name="station_height_barometer_masl" tableColumnId="12"/>
      <queryTableField id="13" name="station_coordinates_lv95_east" tableColumnId="13"/>
      <queryTableField id="14" name="station_coordinates_lv95_north" tableColumnId="14"/>
      <queryTableField id="15" name="station_coordinates_wgs84_lat" tableColumnId="15"/>
      <queryTableField id="16" name="station_coordinates_wgs84_lon" tableColumnId="16"/>
      <queryTableField id="17" name="station_exposition_de" tableColumnId="17"/>
      <queryTableField id="18" name="station_exposition_fr" tableColumnId="18"/>
      <queryTableField id="19" name="station_exposition_it" tableColumnId="19"/>
      <queryTableField id="20" name="station_exposition_en" tableColumnId="20"/>
      <queryTableField id="21" name="station_url_de" tableColumnId="21"/>
      <queryTableField id="22" name="station_url_fr" tableColumnId="22"/>
      <queryTableField id="23" name="station_url_it" tableColumnId="23"/>
      <queryTableField id="24" name="station_url_en" tableColumnId="2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A95CDE5-CB51-470D-9B37-DF471E384648}" autoFormatId="16" applyNumberFormats="0" applyBorderFormats="0" applyFontFormats="0" applyPatternFormats="0" applyAlignmentFormats="0" applyWidthHeightFormats="0">
  <queryTableRefresh nextId="25">
    <queryTableFields count="24">
      <queryTableField id="1" name="station_abbr" tableColumnId="1"/>
      <queryTableField id="2" name="station_name" tableColumnId="2"/>
      <queryTableField id="3" name="station_canton" tableColumnId="3"/>
      <queryTableField id="4" name="station_wigos_id" tableColumnId="4"/>
      <queryTableField id="5" name="station_type_de" tableColumnId="5"/>
      <queryTableField id="6" name="station_type_fr" tableColumnId="6"/>
      <queryTableField id="7" name="station_type_it" tableColumnId="7"/>
      <queryTableField id="8" name="station_type_en" tableColumnId="8"/>
      <queryTableField id="9" name="station_dataowner" tableColumnId="9"/>
      <queryTableField id="10" name="station_data_since" tableColumnId="10"/>
      <queryTableField id="11" name="station_height_masl" tableColumnId="11"/>
      <queryTableField id="12" name="station_height_barometer_masl" tableColumnId="12"/>
      <queryTableField id="13" name="station_coordinates_lv95_east" tableColumnId="13"/>
      <queryTableField id="14" name="station_coordinates_lv95_north" tableColumnId="14"/>
      <queryTableField id="15" name="station_coordinates_wgs84_lat" tableColumnId="15"/>
      <queryTableField id="16" name="station_coordinates_wgs84_lon" tableColumnId="16"/>
      <queryTableField id="17" name="station_exposition_de" tableColumnId="17"/>
      <queryTableField id="18" name="station_exposition_fr" tableColumnId="18"/>
      <queryTableField id="19" name="station_exposition_it" tableColumnId="19"/>
      <queryTableField id="20" name="station_exposition_en" tableColumnId="20"/>
      <queryTableField id="21" name="station_url_de" tableColumnId="21"/>
      <queryTableField id="22" name="station_url_fr" tableColumnId="22"/>
      <queryTableField id="23" name="station_url_it" tableColumnId="23"/>
      <queryTableField id="24" name="station_url_en" tableColumnId="2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C99A6C-0400-4BA6-9877-DBEB6F8B6449}" autoFormatId="16" applyNumberFormats="0" applyBorderFormats="0" applyFontFormats="0" applyPatternFormats="0" applyAlignmentFormats="0" applyWidthHeightFormats="0">
  <queryTableRefresh nextId="14">
    <queryTableFields count="13">
      <queryTableField id="1" name="parameter_shortname" tableColumnId="1"/>
      <queryTableField id="2" name="parameter_description_de" tableColumnId="2"/>
      <queryTableField id="3" name="parameter_description_fr" tableColumnId="3"/>
      <queryTableField id="4" name="parameter_description_it" tableColumnId="4"/>
      <queryTableField id="5" name="parameter_description_en" tableColumnId="5"/>
      <queryTableField id="6" name="parameter_group_de" tableColumnId="6"/>
      <queryTableField id="7" name="parameter_group_fr" tableColumnId="7"/>
      <queryTableField id="8" name="parameter_group_it" tableColumnId="8"/>
      <queryTableField id="9" name="parameter_group_en" tableColumnId="9"/>
      <queryTableField id="10" name="parameter_granularity" tableColumnId="10"/>
      <queryTableField id="11" name="parameter_decimals" tableColumnId="11"/>
      <queryTableField id="12" name="parameter_datatype" tableColumnId="12"/>
      <queryTableField id="13" name="parameter_un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ACD2F2-C4FE-46EF-84CD-FFCB1783A713}" name="ogd_smn_meta_stations" displayName="ogd_smn_meta_stations" ref="A1:X159" tableType="queryTable" totalsRowShown="0">
  <autoFilter ref="A1:X159" xr:uid="{65ACD2F2-C4FE-46EF-84CD-FFCB1783A713}"/>
  <tableColumns count="24">
    <tableColumn id="1" xr3:uid="{66C5B82E-1A75-4299-AE2B-7581B102C601}" uniqueName="1" name="station_abbr" queryTableFieldId="1" dataDxfId="47"/>
    <tableColumn id="2" xr3:uid="{6E95D914-E898-45C2-B890-C12B4CA29BCB}" uniqueName="2" name="station_name" queryTableFieldId="2" dataDxfId="46"/>
    <tableColumn id="3" xr3:uid="{E57D9C58-C041-4E48-9BBD-9444C04AF552}" uniqueName="3" name="station_canton" queryTableFieldId="3" dataDxfId="45"/>
    <tableColumn id="4" xr3:uid="{DA8C32AD-E55A-437D-B4E1-F0E84E62EA20}" uniqueName="4" name="station_wigos_id" queryTableFieldId="4" dataDxfId="44"/>
    <tableColumn id="5" xr3:uid="{2B3AB719-4F0F-4B91-9418-1E671987157F}" uniqueName="5" name="station_type_de" queryTableFieldId="5" dataDxfId="43"/>
    <tableColumn id="6" xr3:uid="{17A40B72-FB0B-4A6C-9017-E96F9E3FF8C7}" uniqueName="6" name="station_type_fr" queryTableFieldId="6" dataDxfId="42"/>
    <tableColumn id="7" xr3:uid="{3702B9D4-1139-4C68-B45A-97B7CC4790EF}" uniqueName="7" name="station_type_it" queryTableFieldId="7" dataDxfId="41"/>
    <tableColumn id="8" xr3:uid="{AAB382DC-5DDA-4F52-8888-7F245CB5D3D4}" uniqueName="8" name="station_type_en" queryTableFieldId="8" dataDxfId="40"/>
    <tableColumn id="9" xr3:uid="{D4EA3855-7C5E-4510-B35B-C077D4987AD1}" uniqueName="9" name="station_dataowner" queryTableFieldId="9" dataDxfId="39"/>
    <tableColumn id="10" xr3:uid="{F231DBED-60A8-4DC3-AD89-1650F93C8E80}" uniqueName="10" name="station_data_since" queryTableFieldId="10" dataDxfId="38"/>
    <tableColumn id="11" xr3:uid="{35485CEF-3E55-46F3-868E-89F41F703A91}" uniqueName="11" name="station_height_masl" queryTableFieldId="11"/>
    <tableColumn id="12" xr3:uid="{2296E9D7-8B87-46E8-97CA-05FC48453252}" uniqueName="12" name="station_height_barometer_masl" queryTableFieldId="12"/>
    <tableColumn id="13" xr3:uid="{89AAE657-FB85-48CC-A50F-84E1EFD6FD7E}" uniqueName="13" name="station_coordinates_lv95_east" queryTableFieldId="13"/>
    <tableColumn id="14" xr3:uid="{F6C93004-B4C0-4767-849B-064BD0A54F36}" uniqueName="14" name="station_coordinates_lv95_north" queryTableFieldId="14"/>
    <tableColumn id="15" xr3:uid="{4058C778-3A3E-480C-B913-EDED3879751B}" uniqueName="15" name="station_coordinates_wgs84_lat" queryTableFieldId="15"/>
    <tableColumn id="16" xr3:uid="{A51CA3A9-5B57-41CB-B731-276718BC3F10}" uniqueName="16" name="station_coordinates_wgs84_lon" queryTableFieldId="16"/>
    <tableColumn id="17" xr3:uid="{31FD4EC1-9946-4D0B-B035-C2879DE15AA1}" uniqueName="17" name="station_exposition_de" queryTableFieldId="17" dataDxfId="37"/>
    <tableColumn id="18" xr3:uid="{3AA1B13B-DBDB-4639-B210-EB1525C303B6}" uniqueName="18" name="station_exposition_fr" queryTableFieldId="18" dataDxfId="36"/>
    <tableColumn id="19" xr3:uid="{FA1FD0AF-1584-47E1-9321-4F2A751314D2}" uniqueName="19" name="station_exposition_it" queryTableFieldId="19" dataDxfId="35"/>
    <tableColumn id="20" xr3:uid="{D530E0EE-5E29-4396-A91A-674851101414}" uniqueName="20" name="station_exposition_en" queryTableFieldId="20" dataDxfId="34"/>
    <tableColumn id="21" xr3:uid="{0C603ECF-C077-417D-9D86-48CB8F5F349A}" uniqueName="21" name="station_url_de" queryTableFieldId="21" dataDxfId="33"/>
    <tableColumn id="22" xr3:uid="{03BFC750-10FF-414F-8556-74B32B9F6A7B}" uniqueName="22" name="station_url_fr" queryTableFieldId="22" dataDxfId="32"/>
    <tableColumn id="23" xr3:uid="{29DCC676-B774-4107-80DD-FC6AA7F88E7E}" uniqueName="23" name="station_url_it" queryTableFieldId="23" dataDxfId="31"/>
    <tableColumn id="24" xr3:uid="{10D715CD-1476-4B1C-888E-8D5A72BECD74}" uniqueName="24" name="station_url_en" queryTableFieldId="24" dataDxfId="3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DDBE2E-7207-40A6-BA0A-40A28D93D712}" name="ogd_smn_tower_meta_stations" displayName="ogd_smn_tower_meta_stations" ref="A1:X5" tableType="queryTable" totalsRowShown="0">
  <autoFilter ref="A1:X5" xr:uid="{35DDBE2E-7207-40A6-BA0A-40A28D93D712}"/>
  <tableColumns count="24">
    <tableColumn id="1" xr3:uid="{F491D283-EF10-43EC-8170-81B87010DFC5}" uniqueName="1" name="station_abbr" queryTableFieldId="1" dataDxfId="29"/>
    <tableColumn id="2" xr3:uid="{8EEB990E-34B7-408D-8A8E-5D6311D711C7}" uniqueName="2" name="station_name" queryTableFieldId="2" dataDxfId="28"/>
    <tableColumn id="3" xr3:uid="{B450078A-5804-42F9-B4BB-7A457643A96C}" uniqueName="3" name="station_canton" queryTableFieldId="3" dataDxfId="27"/>
    <tableColumn id="4" xr3:uid="{BF50EAFC-5D3C-492A-8B1B-270D44600231}" uniqueName="4" name="station_wigos_id" queryTableFieldId="4" dataDxfId="26"/>
    <tableColumn id="5" xr3:uid="{58079475-07C7-4F22-809F-9B26C22A25B8}" uniqueName="5" name="station_type_de" queryTableFieldId="5" dataDxfId="25"/>
    <tableColumn id="6" xr3:uid="{44CBF0CF-64F9-4A15-BE07-5C9911E74EBC}" uniqueName="6" name="station_type_fr" queryTableFieldId="6" dataDxfId="24"/>
    <tableColumn id="7" xr3:uid="{764FFE4E-E8F6-4CAB-915D-F24D6FE30F31}" uniqueName="7" name="station_type_it" queryTableFieldId="7" dataDxfId="23"/>
    <tableColumn id="8" xr3:uid="{CB3E48F0-C74F-485E-897F-FCA7CFEBDA5F}" uniqueName="8" name="station_type_en" queryTableFieldId="8" dataDxfId="22"/>
    <tableColumn id="9" xr3:uid="{65DD8179-BB35-4566-AC4A-E65D073139F7}" uniqueName="9" name="station_dataowner" queryTableFieldId="9" dataDxfId="21"/>
    <tableColumn id="10" xr3:uid="{DDB9BF1B-2F5F-487D-BA3F-ECDD2728BB70}" uniqueName="10" name="station_data_since" queryTableFieldId="10" dataDxfId="20"/>
    <tableColumn id="11" xr3:uid="{A119185E-91B5-47E9-B723-72D3DFDAACA0}" uniqueName="11" name="station_height_masl" queryTableFieldId="11"/>
    <tableColumn id="12" xr3:uid="{10ECFE62-E116-4610-B47C-2936ACDD235F}" uniqueName="12" name="station_height_barometer_masl" queryTableFieldId="12"/>
    <tableColumn id="13" xr3:uid="{1B820E8D-EDE0-4A5E-B94E-ABBE4896DA8B}" uniqueName="13" name="station_coordinates_lv95_east" queryTableFieldId="13"/>
    <tableColumn id="14" xr3:uid="{3073DD04-A4CC-4C38-936A-6F5BF5622BB0}" uniqueName="14" name="station_coordinates_lv95_north" queryTableFieldId="14"/>
    <tableColumn id="15" xr3:uid="{873F7E01-9998-45B7-905D-AC5024399818}" uniqueName="15" name="station_coordinates_wgs84_lat" queryTableFieldId="15"/>
    <tableColumn id="16" xr3:uid="{6A20668C-AED2-4B5C-A07D-5639FA3A1E85}" uniqueName="16" name="station_coordinates_wgs84_lon" queryTableFieldId="16"/>
    <tableColumn id="17" xr3:uid="{F9D01E43-CEE5-438E-949A-47FD490C2D33}" uniqueName="17" name="station_exposition_de" queryTableFieldId="17" dataDxfId="19"/>
    <tableColumn id="18" xr3:uid="{78846F81-1E39-4F06-9D0C-64E48C4AA11E}" uniqueName="18" name="station_exposition_fr" queryTableFieldId="18" dataDxfId="18"/>
    <tableColumn id="19" xr3:uid="{B3135DC1-5AD5-4E1F-91FE-E268506D2D72}" uniqueName="19" name="station_exposition_it" queryTableFieldId="19" dataDxfId="17"/>
    <tableColumn id="20" xr3:uid="{5660336C-6C8B-448D-A6F5-F6CCAD0129E5}" uniqueName="20" name="station_exposition_en" queryTableFieldId="20" dataDxfId="16"/>
    <tableColumn id="21" xr3:uid="{9225B55B-D3EF-4DB4-A875-13E4A294F13A}" uniqueName="21" name="station_url_de" queryTableFieldId="21" dataDxfId="15"/>
    <tableColumn id="22" xr3:uid="{CF7541C8-F81F-4F32-9885-C9D1E90FC7E1}" uniqueName="22" name="station_url_fr" queryTableFieldId="22" dataDxfId="14"/>
    <tableColumn id="23" xr3:uid="{99AA35A5-E408-4EB0-8418-F3F8BCDECB6C}" uniqueName="23" name="station_url_it" queryTableFieldId="23" dataDxfId="13"/>
    <tableColumn id="24" xr3:uid="{CAE96F7F-7DF7-48CE-9970-CF57D0033C38}" uniqueName="24" name="station_url_en" queryTableFieldId="24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829780-5552-484C-91D7-59238533627A}" name="ogd_smn_meta_parameters" displayName="ogd_smn_meta_parameters" ref="A1:M155" tableType="queryTable" totalsRowShown="0">
  <autoFilter ref="A1:M155" xr:uid="{E2829780-5552-484C-91D7-59238533627A}">
    <filterColumn colId="9">
      <filters>
        <filter val="T"/>
      </filters>
    </filterColumn>
  </autoFilter>
  <tableColumns count="13">
    <tableColumn id="1" xr3:uid="{1C850340-0733-4AC0-8E0C-CE9C2E690EB7}" uniqueName="1" name="parameter_shortname" queryTableFieldId="1" dataDxfId="11"/>
    <tableColumn id="2" xr3:uid="{DE078E2E-67FF-4939-9207-AFBA0B7F5F0E}" uniqueName="2" name="parameter_description_de" queryTableFieldId="2" dataDxfId="10"/>
    <tableColumn id="3" xr3:uid="{F7E76BA0-433F-43E3-88C8-DCFA39DEB40B}" uniqueName="3" name="parameter_description_fr" queryTableFieldId="3" dataDxfId="9"/>
    <tableColumn id="4" xr3:uid="{37CA91CD-E862-4A21-A922-5DB46352CC3E}" uniqueName="4" name="parameter_description_it" queryTableFieldId="4" dataDxfId="8"/>
    <tableColumn id="5" xr3:uid="{2C5A876B-E85D-4B5D-AB5A-DBC67338F640}" uniqueName="5" name="parameter_description_en" queryTableFieldId="5" dataDxfId="7"/>
    <tableColumn id="6" xr3:uid="{DD401B75-A50E-480C-AF4E-3A7ED03521C8}" uniqueName="6" name="parameter_group_de" queryTableFieldId="6" dataDxfId="6"/>
    <tableColumn id="7" xr3:uid="{9162EB8F-FECB-4D31-B22D-2CBEC47604C8}" uniqueName="7" name="parameter_group_fr" queryTableFieldId="7" dataDxfId="5"/>
    <tableColumn id="8" xr3:uid="{08A37465-641F-445C-93E5-FE35D9CC3227}" uniqueName="8" name="parameter_group_it" queryTableFieldId="8" dataDxfId="4"/>
    <tableColumn id="9" xr3:uid="{05CA78B7-F1F2-40CF-B641-193585E5BA41}" uniqueName="9" name="parameter_group_en" queryTableFieldId="9" dataDxfId="3"/>
    <tableColumn id="10" xr3:uid="{818B0264-A049-49D7-B74B-2F9F214D6582}" uniqueName="10" name="parameter_granularity" queryTableFieldId="10" dataDxfId="2"/>
    <tableColumn id="11" xr3:uid="{114A9777-DB11-4874-8D47-20F389650E54}" uniqueName="11" name="parameter_decimals" queryTableFieldId="11"/>
    <tableColumn id="12" xr3:uid="{0FC6CE76-D2F5-4355-8E20-C20FA3CD2903}" uniqueName="12" name="parameter_datatype" queryTableFieldId="12" dataDxfId="1"/>
    <tableColumn id="13" xr3:uid="{86C33D8E-2A67-445B-95A5-6487B75049ED}" uniqueName="13" name="parameter_unit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9AD7-7657-46DE-B34C-070BEB466A98}">
  <dimension ref="A1:AA27"/>
  <sheetViews>
    <sheetView workbookViewId="0">
      <selection activeCell="C41" sqref="C41"/>
    </sheetView>
  </sheetViews>
  <sheetFormatPr defaultRowHeight="14.5" x14ac:dyDescent="0.35"/>
  <sheetData>
    <row r="1" spans="1:27" x14ac:dyDescent="0.35">
      <c r="A1" t="s">
        <v>165</v>
      </c>
      <c r="B1" s="2" t="s">
        <v>163</v>
      </c>
      <c r="C1" s="3" t="s">
        <v>266</v>
      </c>
      <c r="D1" s="2" t="s">
        <v>757</v>
      </c>
      <c r="E1" s="3" t="s">
        <v>840</v>
      </c>
      <c r="F1" s="2" t="s">
        <v>974</v>
      </c>
    </row>
    <row r="2" spans="1:27" x14ac:dyDescent="0.35">
      <c r="A2" t="s">
        <v>1036</v>
      </c>
      <c r="B2" s="2" t="s">
        <v>1034</v>
      </c>
    </row>
    <row r="3" spans="1:27" x14ac:dyDescent="0.35">
      <c r="A3" t="s">
        <v>2145</v>
      </c>
    </row>
    <row r="4" spans="1:27" x14ac:dyDescent="0.35">
      <c r="A4" t="s">
        <v>26</v>
      </c>
      <c r="B4" s="2" t="s">
        <v>24</v>
      </c>
      <c r="C4" s="3" t="s">
        <v>123</v>
      </c>
      <c r="D4" s="2" t="s">
        <v>156</v>
      </c>
      <c r="E4" s="3" t="s">
        <v>228</v>
      </c>
      <c r="F4" s="2" t="s">
        <v>251</v>
      </c>
      <c r="G4" s="3" t="s">
        <v>302</v>
      </c>
      <c r="H4" s="2" t="s">
        <v>378</v>
      </c>
      <c r="I4" s="3" t="s">
        <v>530</v>
      </c>
      <c r="J4" s="2" t="s">
        <v>616</v>
      </c>
      <c r="K4" s="3" t="s">
        <v>695</v>
      </c>
      <c r="L4" s="2" t="s">
        <v>719</v>
      </c>
      <c r="M4" s="3" t="s">
        <v>743</v>
      </c>
      <c r="N4" s="2" t="s">
        <v>809</v>
      </c>
      <c r="O4" s="3" t="s">
        <v>862</v>
      </c>
      <c r="P4" s="2" t="s">
        <v>878</v>
      </c>
      <c r="Q4" s="3" t="s">
        <v>1186</v>
      </c>
      <c r="R4" s="2" t="s">
        <v>1288</v>
      </c>
    </row>
    <row r="5" spans="1:27" x14ac:dyDescent="0.35">
      <c r="A5" t="s">
        <v>133</v>
      </c>
      <c r="B5" s="2" t="s">
        <v>131</v>
      </c>
      <c r="C5" s="3" t="s">
        <v>1026</v>
      </c>
    </row>
    <row r="6" spans="1:27" x14ac:dyDescent="0.35">
      <c r="A6" t="s">
        <v>1157</v>
      </c>
      <c r="B6" s="2" t="s">
        <v>1155</v>
      </c>
    </row>
    <row r="7" spans="1:27" x14ac:dyDescent="0.35">
      <c r="A7" t="s">
        <v>1227</v>
      </c>
      <c r="B7" s="2" t="s">
        <v>1225</v>
      </c>
    </row>
    <row r="8" spans="1:27" x14ac:dyDescent="0.35">
      <c r="A8" t="s">
        <v>594</v>
      </c>
      <c r="B8" s="2" t="s">
        <v>592</v>
      </c>
      <c r="C8" s="3" t="s">
        <v>802</v>
      </c>
      <c r="D8" s="2" t="s">
        <v>817</v>
      </c>
      <c r="E8" s="3" t="s">
        <v>951</v>
      </c>
    </row>
    <row r="9" spans="1:27" x14ac:dyDescent="0.35">
      <c r="A9" t="s">
        <v>656</v>
      </c>
      <c r="B9" s="2" t="s">
        <v>654</v>
      </c>
    </row>
    <row r="10" spans="1:27" x14ac:dyDescent="0.35">
      <c r="A10" t="s">
        <v>467</v>
      </c>
      <c r="B10" s="2" t="s">
        <v>465</v>
      </c>
      <c r="C10" s="3" t="s">
        <v>561</v>
      </c>
    </row>
    <row r="11" spans="1:27" x14ac:dyDescent="0.35">
      <c r="A11" t="s">
        <v>76</v>
      </c>
      <c r="B11" s="2" t="s">
        <v>74</v>
      </c>
      <c r="C11" s="3" t="s">
        <v>102</v>
      </c>
      <c r="D11" s="2" t="s">
        <v>144</v>
      </c>
      <c r="E11" s="3" t="s">
        <v>201</v>
      </c>
      <c r="F11" s="2" t="s">
        <v>258</v>
      </c>
      <c r="G11" s="3" t="s">
        <v>332</v>
      </c>
      <c r="H11" s="2" t="s">
        <v>355</v>
      </c>
      <c r="I11" s="3" t="s">
        <v>370</v>
      </c>
      <c r="J11" s="2" t="s">
        <v>394</v>
      </c>
      <c r="K11" s="3" t="s">
        <v>418</v>
      </c>
      <c r="L11" s="2" t="s">
        <v>624</v>
      </c>
      <c r="M11" s="3" t="s">
        <v>688</v>
      </c>
      <c r="N11" s="2" t="s">
        <v>750</v>
      </c>
      <c r="O11" s="3" t="s">
        <v>885</v>
      </c>
      <c r="P11" s="2" t="s">
        <v>958</v>
      </c>
      <c r="Q11" s="3" t="s">
        <v>1011</v>
      </c>
      <c r="R11" s="2" t="s">
        <v>1049</v>
      </c>
      <c r="S11" s="3" t="s">
        <v>1056</v>
      </c>
      <c r="T11" s="2" t="s">
        <v>1079</v>
      </c>
      <c r="U11" s="3" t="s">
        <v>1099</v>
      </c>
      <c r="V11" s="2" t="s">
        <v>1127</v>
      </c>
      <c r="W11" s="3" t="s">
        <v>1147</v>
      </c>
      <c r="X11" s="2" t="s">
        <v>1217</v>
      </c>
      <c r="Y11" s="3" t="s">
        <v>1240</v>
      </c>
      <c r="Z11" s="2" t="s">
        <v>1261</v>
      </c>
      <c r="AA11" s="3" t="s">
        <v>1280</v>
      </c>
    </row>
    <row r="12" spans="1:27" x14ac:dyDescent="0.35">
      <c r="A12" t="s">
        <v>403</v>
      </c>
      <c r="B12" s="2" t="s">
        <v>401</v>
      </c>
      <c r="C12" s="3" t="s">
        <v>502</v>
      </c>
    </row>
    <row r="13" spans="1:27" x14ac:dyDescent="0.35">
      <c r="A13" t="s">
        <v>451</v>
      </c>
      <c r="B13" s="2" t="s">
        <v>449</v>
      </c>
      <c r="C13" s="3" t="s">
        <v>510</v>
      </c>
      <c r="D13" s="2" t="s">
        <v>772</v>
      </c>
      <c r="E13" s="3" t="s">
        <v>825</v>
      </c>
      <c r="F13" s="2" t="s">
        <v>1139</v>
      </c>
    </row>
    <row r="14" spans="1:27" x14ac:dyDescent="0.35">
      <c r="A14" t="s">
        <v>245</v>
      </c>
      <c r="B14" s="2" t="s">
        <v>243</v>
      </c>
      <c r="C14" s="3" t="s">
        <v>273</v>
      </c>
      <c r="D14" s="2" t="s">
        <v>325</v>
      </c>
      <c r="E14" s="3" t="s">
        <v>386</v>
      </c>
      <c r="F14" s="2" t="s">
        <v>893</v>
      </c>
    </row>
    <row r="15" spans="1:27" x14ac:dyDescent="0.35">
      <c r="A15" t="s">
        <v>2144</v>
      </c>
    </row>
    <row r="16" spans="1:27" x14ac:dyDescent="0.35">
      <c r="A16" t="s">
        <v>476</v>
      </c>
      <c r="B16" s="2" t="s">
        <v>474</v>
      </c>
      <c r="C16" s="3" t="s">
        <v>553</v>
      </c>
      <c r="D16" s="2" t="s">
        <v>937</v>
      </c>
      <c r="E16" s="3" t="s">
        <v>1194</v>
      </c>
    </row>
    <row r="17" spans="1:21" x14ac:dyDescent="0.35">
      <c r="A17" t="s">
        <v>95</v>
      </c>
      <c r="B17" s="2" t="s">
        <v>93</v>
      </c>
      <c r="C17" s="3" t="s">
        <v>433</v>
      </c>
      <c r="D17" s="2" t="s">
        <v>900</v>
      </c>
      <c r="E17" s="3" t="s">
        <v>989</v>
      </c>
      <c r="F17" s="2" t="s">
        <v>997</v>
      </c>
      <c r="G17" s="3" t="s">
        <v>1071</v>
      </c>
      <c r="H17" s="2" t="s">
        <v>1164</v>
      </c>
    </row>
    <row r="18" spans="1:21" x14ac:dyDescent="0.35">
      <c r="A18" t="s">
        <v>672</v>
      </c>
      <c r="B18" s="2" t="s">
        <v>670</v>
      </c>
      <c r="C18" s="3" t="s">
        <v>1087</v>
      </c>
    </row>
    <row r="19" spans="1:21" x14ac:dyDescent="0.35">
      <c r="A19" t="s">
        <v>570</v>
      </c>
      <c r="B19" s="2" t="s">
        <v>568</v>
      </c>
      <c r="C19" s="3" t="s">
        <v>608</v>
      </c>
    </row>
    <row r="20" spans="1:21" x14ac:dyDescent="0.35">
      <c r="A20" t="s">
        <v>459</v>
      </c>
      <c r="B20" s="2" t="s">
        <v>457</v>
      </c>
      <c r="C20" s="3" t="s">
        <v>545</v>
      </c>
      <c r="D20" s="2" t="s">
        <v>727</v>
      </c>
      <c r="E20" s="3" t="s">
        <v>1042</v>
      </c>
    </row>
    <row r="21" spans="1:21" x14ac:dyDescent="0.35">
      <c r="A21" t="s">
        <v>215</v>
      </c>
      <c r="B21" s="2" t="s">
        <v>213</v>
      </c>
      <c r="C21" s="3" t="s">
        <v>647</v>
      </c>
      <c r="D21" s="2" t="s">
        <v>663</v>
      </c>
      <c r="E21" s="3" t="s">
        <v>1171</v>
      </c>
      <c r="F21" s="2" t="s">
        <v>1178</v>
      </c>
    </row>
    <row r="22" spans="1:21" x14ac:dyDescent="0.35">
      <c r="A22" t="s">
        <v>174</v>
      </c>
      <c r="B22" s="2" t="s">
        <v>172</v>
      </c>
      <c r="C22" s="3" t="s">
        <v>288</v>
      </c>
      <c r="D22" s="2" t="s">
        <v>347</v>
      </c>
      <c r="E22" s="3" t="s">
        <v>363</v>
      </c>
      <c r="F22" s="2" t="s">
        <v>537</v>
      </c>
      <c r="G22" s="3" t="s">
        <v>765</v>
      </c>
      <c r="H22" s="2" t="s">
        <v>779</v>
      </c>
      <c r="I22" s="3" t="s">
        <v>854</v>
      </c>
      <c r="J22" s="2" t="s">
        <v>915</v>
      </c>
      <c r="K22" s="3" t="s">
        <v>944</v>
      </c>
      <c r="L22" s="2" t="s">
        <v>1018</v>
      </c>
      <c r="M22" s="3" t="s">
        <v>1063</v>
      </c>
    </row>
    <row r="23" spans="1:21" x14ac:dyDescent="0.35">
      <c r="A23" t="s">
        <v>67</v>
      </c>
      <c r="B23" s="2" t="s">
        <v>65</v>
      </c>
      <c r="C23" s="3" t="s">
        <v>82</v>
      </c>
      <c r="D23" s="2" t="s">
        <v>584</v>
      </c>
      <c r="E23" s="3" t="s">
        <v>639</v>
      </c>
    </row>
    <row r="24" spans="1:21" x14ac:dyDescent="0.35">
      <c r="A24" t="s">
        <v>58</v>
      </c>
      <c r="B24" s="2" t="s">
        <v>56</v>
      </c>
      <c r="C24" s="3" t="s">
        <v>181</v>
      </c>
      <c r="D24" s="2" t="s">
        <v>280</v>
      </c>
      <c r="E24" s="3" t="s">
        <v>295</v>
      </c>
      <c r="F24" s="2" t="s">
        <v>310</v>
      </c>
      <c r="G24" s="3" t="s">
        <v>317</v>
      </c>
      <c r="H24" s="2" t="s">
        <v>410</v>
      </c>
      <c r="I24" s="3" t="s">
        <v>425</v>
      </c>
      <c r="J24" s="2" t="s">
        <v>522</v>
      </c>
      <c r="K24" s="3" t="s">
        <v>787</v>
      </c>
      <c r="L24" s="2" t="s">
        <v>908</v>
      </c>
      <c r="M24" s="3" t="s">
        <v>922</v>
      </c>
      <c r="N24" s="2" t="s">
        <v>966</v>
      </c>
      <c r="O24" s="3" t="s">
        <v>982</v>
      </c>
      <c r="P24" s="2" t="s">
        <v>1233</v>
      </c>
      <c r="Q24" s="3" t="s">
        <v>1254</v>
      </c>
    </row>
    <row r="25" spans="1:21" x14ac:dyDescent="0.35">
      <c r="A25" t="s">
        <v>112</v>
      </c>
      <c r="B25" s="2" t="s">
        <v>110</v>
      </c>
      <c r="C25" s="3" t="s">
        <v>189</v>
      </c>
      <c r="D25" s="2" t="s">
        <v>221</v>
      </c>
      <c r="E25" s="3" t="s">
        <v>235</v>
      </c>
      <c r="F25" s="2" t="s">
        <v>441</v>
      </c>
      <c r="G25" s="3" t="s">
        <v>486</v>
      </c>
      <c r="H25" s="2" t="s">
        <v>494</v>
      </c>
      <c r="I25" s="3" t="s">
        <v>576</v>
      </c>
      <c r="J25" s="2" t="s">
        <v>600</v>
      </c>
      <c r="K25" s="3" t="s">
        <v>631</v>
      </c>
      <c r="L25" s="2" t="s">
        <v>703</v>
      </c>
      <c r="M25" s="3" t="s">
        <v>795</v>
      </c>
      <c r="N25" s="2" t="s">
        <v>832</v>
      </c>
      <c r="O25" s="3" t="s">
        <v>847</v>
      </c>
      <c r="P25" s="2" t="s">
        <v>870</v>
      </c>
      <c r="Q25" s="3" t="s">
        <v>1106</v>
      </c>
      <c r="R25" s="2" t="s">
        <v>1113</v>
      </c>
      <c r="S25" s="3" t="s">
        <v>1210</v>
      </c>
      <c r="T25" s="2" t="s">
        <v>1247</v>
      </c>
      <c r="U25" s="3" t="s">
        <v>1295</v>
      </c>
    </row>
    <row r="26" spans="1:21" x14ac:dyDescent="0.35">
      <c r="A26" t="s">
        <v>44</v>
      </c>
      <c r="B26" s="2" t="s">
        <v>42</v>
      </c>
      <c r="C26" s="3" t="s">
        <v>340</v>
      </c>
    </row>
    <row r="27" spans="1:21" x14ac:dyDescent="0.35">
      <c r="A27" t="s">
        <v>681</v>
      </c>
      <c r="B27" s="2" t="s">
        <v>679</v>
      </c>
      <c r="C27" s="3" t="s">
        <v>711</v>
      </c>
      <c r="D27" s="2" t="s">
        <v>735</v>
      </c>
      <c r="E27" s="3" t="s">
        <v>930</v>
      </c>
      <c r="F27" s="2" t="s">
        <v>1004</v>
      </c>
      <c r="G27" s="3" t="s">
        <v>1120</v>
      </c>
      <c r="H27" s="2" t="s">
        <v>1202</v>
      </c>
      <c r="I27" s="3" t="s">
        <v>1269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99290-494C-4ECB-BC4B-A3144B7A1F35}">
  <dimension ref="A1:X159"/>
  <sheetViews>
    <sheetView workbookViewId="0">
      <selection activeCell="D192" sqref="D192"/>
    </sheetView>
  </sheetViews>
  <sheetFormatPr defaultRowHeight="14.5" x14ac:dyDescent="0.35"/>
  <cols>
    <col min="1" max="1" width="13.54296875" bestFit="1" customWidth="1"/>
    <col min="2" max="2" width="23.1796875" bestFit="1" customWidth="1"/>
    <col min="3" max="3" width="15.6328125" bestFit="1" customWidth="1"/>
    <col min="4" max="4" width="17" bestFit="1" customWidth="1"/>
    <col min="5" max="5" width="26" bestFit="1" customWidth="1"/>
    <col min="6" max="6" width="33.453125" bestFit="1" customWidth="1"/>
    <col min="7" max="7" width="31.26953125" bestFit="1" customWidth="1"/>
    <col min="8" max="8" width="23.26953125" bestFit="1" customWidth="1"/>
    <col min="9" max="9" width="18.6328125" bestFit="1" customWidth="1"/>
    <col min="10" max="10" width="18.90625" bestFit="1" customWidth="1"/>
    <col min="11" max="11" width="20.08984375" bestFit="1" customWidth="1"/>
    <col min="12" max="12" width="29.7265625" bestFit="1" customWidth="1"/>
    <col min="13" max="13" width="28.6328125" bestFit="1" customWidth="1"/>
    <col min="14" max="14" width="29.54296875" bestFit="1" customWidth="1"/>
    <col min="15" max="15" width="29" bestFit="1" customWidth="1"/>
    <col min="16" max="16" width="29.453125" bestFit="1" customWidth="1"/>
    <col min="17" max="17" width="28.26953125" bestFit="1" customWidth="1"/>
    <col min="18" max="18" width="37.453125" bestFit="1" customWidth="1"/>
    <col min="19" max="19" width="31.6328125" bestFit="1" customWidth="1"/>
    <col min="20" max="20" width="25.453125" bestFit="1" customWidth="1"/>
    <col min="21" max="24" width="80.7265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>
        <v>1321</v>
      </c>
      <c r="L2">
        <v>1326</v>
      </c>
      <c r="M2">
        <v>2609372</v>
      </c>
      <c r="N2">
        <v>1148939</v>
      </c>
      <c r="O2">
        <v>46.491703000000001</v>
      </c>
      <c r="P2">
        <v>7.5607030000000002</v>
      </c>
      <c r="Q2" s="1" t="s">
        <v>34</v>
      </c>
      <c r="R2" s="1" t="s">
        <v>35</v>
      </c>
      <c r="S2" s="1" t="s">
        <v>36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</row>
    <row r="3" spans="1:24" x14ac:dyDescent="0.35">
      <c r="A3" s="1" t="s">
        <v>42</v>
      </c>
      <c r="B3" s="1" t="s">
        <v>43</v>
      </c>
      <c r="C3" s="1" t="s">
        <v>44</v>
      </c>
      <c r="D3" s="1" t="s">
        <v>45</v>
      </c>
      <c r="E3" s="1" t="s">
        <v>28</v>
      </c>
      <c r="F3" s="1" t="s">
        <v>29</v>
      </c>
      <c r="G3" s="1" t="s">
        <v>30</v>
      </c>
      <c r="H3" s="1" t="s">
        <v>31</v>
      </c>
      <c r="I3" s="1" t="s">
        <v>46</v>
      </c>
      <c r="J3" s="1" t="s">
        <v>47</v>
      </c>
      <c r="K3">
        <v>724</v>
      </c>
      <c r="M3">
        <v>2688729</v>
      </c>
      <c r="N3">
        <v>1220956</v>
      </c>
      <c r="O3">
        <v>47.133636000000003</v>
      </c>
      <c r="P3">
        <v>8.6082059999999991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52</v>
      </c>
      <c r="V3" s="1" t="s">
        <v>53</v>
      </c>
      <c r="W3" s="1" t="s">
        <v>54</v>
      </c>
      <c r="X3" s="1" t="s">
        <v>55</v>
      </c>
    </row>
    <row r="4" spans="1:24" x14ac:dyDescent="0.35">
      <c r="A4" s="1" t="s">
        <v>56</v>
      </c>
      <c r="B4" s="1" t="s">
        <v>57</v>
      </c>
      <c r="C4" s="1" t="s">
        <v>58</v>
      </c>
      <c r="D4" s="1" t="s">
        <v>59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46</v>
      </c>
      <c r="J4" s="1" t="s">
        <v>60</v>
      </c>
      <c r="K4">
        <v>381</v>
      </c>
      <c r="L4">
        <v>382</v>
      </c>
      <c r="M4">
        <v>2560404</v>
      </c>
      <c r="N4">
        <v>1130713</v>
      </c>
      <c r="O4">
        <v>46.326647000000001</v>
      </c>
      <c r="P4">
        <v>6.9244719999999997</v>
      </c>
      <c r="Q4" s="1" t="s">
        <v>48</v>
      </c>
      <c r="R4" s="1" t="s">
        <v>49</v>
      </c>
      <c r="S4" s="1" t="s">
        <v>50</v>
      </c>
      <c r="T4" s="1" t="s">
        <v>51</v>
      </c>
      <c r="U4" s="1" t="s">
        <v>61</v>
      </c>
      <c r="V4" s="1" t="s">
        <v>62</v>
      </c>
      <c r="W4" s="1" t="s">
        <v>63</v>
      </c>
      <c r="X4" s="1" t="s">
        <v>64</v>
      </c>
    </row>
    <row r="5" spans="1:24" x14ac:dyDescent="0.35">
      <c r="A5" s="1" t="s">
        <v>65</v>
      </c>
      <c r="B5" s="1" t="s">
        <v>66</v>
      </c>
      <c r="C5" s="1" t="s">
        <v>67</v>
      </c>
      <c r="D5" s="1" t="s">
        <v>68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46</v>
      </c>
      <c r="J5" s="1" t="s">
        <v>69</v>
      </c>
      <c r="K5">
        <v>438</v>
      </c>
      <c r="L5">
        <v>440</v>
      </c>
      <c r="M5">
        <v>2690181</v>
      </c>
      <c r="N5">
        <v>1193564</v>
      </c>
      <c r="O5">
        <v>46.887068999999997</v>
      </c>
      <c r="P5">
        <v>8.6218939999999993</v>
      </c>
      <c r="Q5" s="1" t="s">
        <v>48</v>
      </c>
      <c r="R5" s="1" t="s">
        <v>49</v>
      </c>
      <c r="S5" s="1" t="s">
        <v>50</v>
      </c>
      <c r="T5" s="1" t="s">
        <v>51</v>
      </c>
      <c r="U5" s="1" t="s">
        <v>70</v>
      </c>
      <c r="V5" s="1" t="s">
        <v>71</v>
      </c>
      <c r="W5" s="1" t="s">
        <v>72</v>
      </c>
      <c r="X5" s="1" t="s">
        <v>73</v>
      </c>
    </row>
    <row r="6" spans="1:24" x14ac:dyDescent="0.35">
      <c r="A6" s="1" t="s">
        <v>74</v>
      </c>
      <c r="B6" s="1" t="s">
        <v>75</v>
      </c>
      <c r="C6" s="1" t="s">
        <v>76</v>
      </c>
      <c r="D6" s="1" t="s">
        <v>77</v>
      </c>
      <c r="E6" s="1" t="s">
        <v>28</v>
      </c>
      <c r="F6" s="1" t="s">
        <v>29</v>
      </c>
      <c r="G6" s="1" t="s">
        <v>30</v>
      </c>
      <c r="H6" s="1" t="s">
        <v>31</v>
      </c>
      <c r="I6" s="1" t="s">
        <v>46</v>
      </c>
      <c r="J6" s="1" t="s">
        <v>33</v>
      </c>
      <c r="K6">
        <v>987</v>
      </c>
      <c r="L6">
        <v>988</v>
      </c>
      <c r="M6">
        <v>2752692</v>
      </c>
      <c r="N6">
        <v>1164038</v>
      </c>
      <c r="O6">
        <v>46.610138999999997</v>
      </c>
      <c r="P6">
        <v>9.4319810000000004</v>
      </c>
      <c r="Q6" s="1" t="s">
        <v>48</v>
      </c>
      <c r="R6" s="1" t="s">
        <v>49</v>
      </c>
      <c r="S6" s="1" t="s">
        <v>50</v>
      </c>
      <c r="T6" s="1" t="s">
        <v>51</v>
      </c>
      <c r="U6" s="1" t="s">
        <v>78</v>
      </c>
      <c r="V6" s="1" t="s">
        <v>79</v>
      </c>
      <c r="W6" s="1" t="s">
        <v>80</v>
      </c>
      <c r="X6" s="1" t="s">
        <v>81</v>
      </c>
    </row>
    <row r="7" spans="1:24" x14ac:dyDescent="0.35">
      <c r="A7" s="1" t="s">
        <v>82</v>
      </c>
      <c r="B7" s="1" t="s">
        <v>83</v>
      </c>
      <c r="C7" s="1" t="s">
        <v>67</v>
      </c>
      <c r="D7" s="1" t="s">
        <v>84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69</v>
      </c>
      <c r="K7">
        <v>1435</v>
      </c>
      <c r="L7">
        <v>1436</v>
      </c>
      <c r="M7">
        <v>2687445</v>
      </c>
      <c r="N7">
        <v>1165044</v>
      </c>
      <c r="O7">
        <v>46.630913999999997</v>
      </c>
      <c r="P7">
        <v>8.5805530000000001</v>
      </c>
      <c r="Q7" s="1" t="s">
        <v>85</v>
      </c>
      <c r="R7" s="1" t="s">
        <v>86</v>
      </c>
      <c r="S7" s="1" t="s">
        <v>87</v>
      </c>
      <c r="T7" s="1" t="s">
        <v>88</v>
      </c>
      <c r="U7" s="1" t="s">
        <v>89</v>
      </c>
      <c r="V7" s="1" t="s">
        <v>90</v>
      </c>
      <c r="W7" s="1" t="s">
        <v>91</v>
      </c>
      <c r="X7" s="1" t="s">
        <v>92</v>
      </c>
    </row>
    <row r="8" spans="1:24" x14ac:dyDescent="0.35">
      <c r="A8" s="1" t="s">
        <v>93</v>
      </c>
      <c r="B8" s="1" t="s">
        <v>94</v>
      </c>
      <c r="C8" s="1" t="s">
        <v>95</v>
      </c>
      <c r="D8" s="1" t="s">
        <v>96</v>
      </c>
      <c r="E8" s="1" t="s">
        <v>28</v>
      </c>
      <c r="F8" s="1" t="s">
        <v>29</v>
      </c>
      <c r="G8" s="1" t="s">
        <v>30</v>
      </c>
      <c r="H8" s="1" t="s">
        <v>31</v>
      </c>
      <c r="I8" s="1" t="s">
        <v>46</v>
      </c>
      <c r="J8" s="1" t="s">
        <v>97</v>
      </c>
      <c r="K8">
        <v>398</v>
      </c>
      <c r="L8">
        <v>399</v>
      </c>
      <c r="M8">
        <v>2760387</v>
      </c>
      <c r="N8">
        <v>1261382</v>
      </c>
      <c r="O8">
        <v>47.483631000000003</v>
      </c>
      <c r="P8">
        <v>9.5668500000000005</v>
      </c>
      <c r="Q8" s="1" t="s">
        <v>48</v>
      </c>
      <c r="R8" s="1" t="s">
        <v>49</v>
      </c>
      <c r="S8" s="1" t="s">
        <v>50</v>
      </c>
      <c r="T8" s="1" t="s">
        <v>51</v>
      </c>
      <c r="U8" s="1" t="s">
        <v>98</v>
      </c>
      <c r="V8" s="1" t="s">
        <v>99</v>
      </c>
      <c r="W8" s="1" t="s">
        <v>100</v>
      </c>
      <c r="X8" s="1" t="s">
        <v>101</v>
      </c>
    </row>
    <row r="9" spans="1:24" x14ac:dyDescent="0.35">
      <c r="A9" s="1" t="s">
        <v>102</v>
      </c>
      <c r="B9" s="1" t="s">
        <v>103</v>
      </c>
      <c r="C9" s="1" t="s">
        <v>76</v>
      </c>
      <c r="D9" s="1" t="s">
        <v>104</v>
      </c>
      <c r="E9" s="1" t="s">
        <v>28</v>
      </c>
      <c r="F9" s="1" t="s">
        <v>29</v>
      </c>
      <c r="G9" s="1" t="s">
        <v>30</v>
      </c>
      <c r="H9" s="1" t="s">
        <v>31</v>
      </c>
      <c r="I9" s="1" t="s">
        <v>32</v>
      </c>
      <c r="J9" s="1" t="s">
        <v>105</v>
      </c>
      <c r="K9">
        <v>1878</v>
      </c>
      <c r="L9">
        <v>1879</v>
      </c>
      <c r="M9">
        <v>2771031</v>
      </c>
      <c r="N9">
        <v>1184830</v>
      </c>
      <c r="O9">
        <v>46.792661000000003</v>
      </c>
      <c r="P9">
        <v>9.6790140000000005</v>
      </c>
      <c r="Q9" s="1" t="s">
        <v>34</v>
      </c>
      <c r="R9" s="1" t="s">
        <v>35</v>
      </c>
      <c r="S9" s="1" t="s">
        <v>36</v>
      </c>
      <c r="T9" s="1" t="s">
        <v>37</v>
      </c>
      <c r="U9" s="1" t="s">
        <v>106</v>
      </c>
      <c r="V9" s="1" t="s">
        <v>107</v>
      </c>
      <c r="W9" s="1" t="s">
        <v>108</v>
      </c>
      <c r="X9" s="1" t="s">
        <v>109</v>
      </c>
    </row>
    <row r="10" spans="1:24" x14ac:dyDescent="0.35">
      <c r="A10" s="1" t="s">
        <v>110</v>
      </c>
      <c r="B10" s="1" t="s">
        <v>111</v>
      </c>
      <c r="C10" s="1" t="s">
        <v>112</v>
      </c>
      <c r="D10" s="1" t="s">
        <v>113</v>
      </c>
      <c r="E10" s="1" t="s">
        <v>28</v>
      </c>
      <c r="F10" s="1" t="s">
        <v>29</v>
      </c>
      <c r="G10" s="1" t="s">
        <v>30</v>
      </c>
      <c r="H10" s="1" t="s">
        <v>31</v>
      </c>
      <c r="I10" s="1" t="s">
        <v>46</v>
      </c>
      <c r="J10" s="1" t="s">
        <v>114</v>
      </c>
      <c r="K10">
        <v>2734</v>
      </c>
      <c r="L10">
        <v>2735</v>
      </c>
      <c r="M10">
        <v>2586854</v>
      </c>
      <c r="N10">
        <v>1105302</v>
      </c>
      <c r="O10">
        <v>46.0991</v>
      </c>
      <c r="P10">
        <v>7.2686500000000001</v>
      </c>
      <c r="Q10" s="1" t="s">
        <v>115</v>
      </c>
      <c r="R10" s="1" t="s">
        <v>116</v>
      </c>
      <c r="S10" s="1" t="s">
        <v>117</v>
      </c>
      <c r="T10" s="1" t="s">
        <v>118</v>
      </c>
      <c r="U10" s="1" t="s">
        <v>119</v>
      </c>
      <c r="V10" s="1" t="s">
        <v>120</v>
      </c>
      <c r="W10" s="1" t="s">
        <v>121</v>
      </c>
      <c r="X10" s="1" t="s">
        <v>122</v>
      </c>
    </row>
    <row r="11" spans="1:24" x14ac:dyDescent="0.35">
      <c r="A11" s="1" t="s">
        <v>123</v>
      </c>
      <c r="B11" s="1" t="s">
        <v>124</v>
      </c>
      <c r="C11" s="1" t="s">
        <v>26</v>
      </c>
      <c r="D11" s="1" t="s">
        <v>125</v>
      </c>
      <c r="E11" s="1" t="s">
        <v>28</v>
      </c>
      <c r="F11" s="1" t="s">
        <v>29</v>
      </c>
      <c r="G11" s="1" t="s">
        <v>30</v>
      </c>
      <c r="H11" s="1" t="s">
        <v>31</v>
      </c>
      <c r="I11" s="1" t="s">
        <v>46</v>
      </c>
      <c r="J11" s="1" t="s">
        <v>126</v>
      </c>
      <c r="K11">
        <v>942</v>
      </c>
      <c r="M11">
        <v>2606850</v>
      </c>
      <c r="N11">
        <v>1202975</v>
      </c>
      <c r="O11">
        <v>46.977806000000001</v>
      </c>
      <c r="P11">
        <v>7.5286670000000004</v>
      </c>
      <c r="Q11" s="1" t="s">
        <v>115</v>
      </c>
      <c r="R11" s="1" t="s">
        <v>116</v>
      </c>
      <c r="S11" s="1" t="s">
        <v>117</v>
      </c>
      <c r="T11" s="1" t="s">
        <v>118</v>
      </c>
      <c r="U11" s="1" t="s">
        <v>127</v>
      </c>
      <c r="V11" s="1" t="s">
        <v>128</v>
      </c>
      <c r="W11" s="1" t="s">
        <v>129</v>
      </c>
      <c r="X11" s="1" t="s">
        <v>130</v>
      </c>
    </row>
    <row r="12" spans="1:24" x14ac:dyDescent="0.35">
      <c r="A12" s="1" t="s">
        <v>131</v>
      </c>
      <c r="B12" s="1" t="s">
        <v>132</v>
      </c>
      <c r="C12" s="1" t="s">
        <v>133</v>
      </c>
      <c r="D12" s="1" t="s">
        <v>134</v>
      </c>
      <c r="E12" s="1" t="s">
        <v>28</v>
      </c>
      <c r="F12" s="1" t="s">
        <v>29</v>
      </c>
      <c r="G12" s="1" t="s">
        <v>30</v>
      </c>
      <c r="H12" s="1" t="s">
        <v>31</v>
      </c>
      <c r="I12" s="1" t="s">
        <v>46</v>
      </c>
      <c r="J12" s="1" t="s">
        <v>135</v>
      </c>
      <c r="K12">
        <v>316</v>
      </c>
      <c r="L12">
        <v>318</v>
      </c>
      <c r="M12">
        <v>2610909</v>
      </c>
      <c r="N12">
        <v>1265612</v>
      </c>
      <c r="O12">
        <v>47.541142000000001</v>
      </c>
      <c r="P12">
        <v>7.5835249999999998</v>
      </c>
      <c r="Q12" s="1" t="s">
        <v>136</v>
      </c>
      <c r="R12" s="1" t="s">
        <v>137</v>
      </c>
      <c r="S12" s="1" t="s">
        <v>138</v>
      </c>
      <c r="T12" s="1" t="s">
        <v>139</v>
      </c>
      <c r="U12" s="1" t="s">
        <v>140</v>
      </c>
      <c r="V12" s="1" t="s">
        <v>141</v>
      </c>
      <c r="W12" s="1" t="s">
        <v>142</v>
      </c>
      <c r="X12" s="1" t="s">
        <v>143</v>
      </c>
    </row>
    <row r="13" spans="1:24" x14ac:dyDescent="0.35">
      <c r="A13" s="1" t="s">
        <v>144</v>
      </c>
      <c r="B13" s="1" t="s">
        <v>145</v>
      </c>
      <c r="C13" s="1" t="s">
        <v>76</v>
      </c>
      <c r="D13" s="1" t="s">
        <v>146</v>
      </c>
      <c r="E13" s="1" t="s">
        <v>28</v>
      </c>
      <c r="F13" s="1" t="s">
        <v>29</v>
      </c>
      <c r="G13" s="1" t="s">
        <v>30</v>
      </c>
      <c r="H13" s="1" t="s">
        <v>31</v>
      </c>
      <c r="I13" s="1" t="s">
        <v>46</v>
      </c>
      <c r="J13" s="1" t="s">
        <v>147</v>
      </c>
      <c r="K13">
        <v>2260</v>
      </c>
      <c r="L13">
        <v>2261</v>
      </c>
      <c r="M13">
        <v>2798423</v>
      </c>
      <c r="N13">
        <v>1143020</v>
      </c>
      <c r="O13">
        <v>46.409157999999998</v>
      </c>
      <c r="P13">
        <v>10.019567</v>
      </c>
      <c r="Q13" s="1" t="s">
        <v>148</v>
      </c>
      <c r="R13" s="1" t="s">
        <v>149</v>
      </c>
      <c r="S13" s="1" t="s">
        <v>150</v>
      </c>
      <c r="T13" s="1" t="s">
        <v>151</v>
      </c>
      <c r="U13" s="1" t="s">
        <v>152</v>
      </c>
      <c r="V13" s="1" t="s">
        <v>153</v>
      </c>
      <c r="W13" s="1" t="s">
        <v>154</v>
      </c>
      <c r="X13" s="1" t="s">
        <v>155</v>
      </c>
    </row>
    <row r="14" spans="1:24" x14ac:dyDescent="0.35">
      <c r="A14" s="1" t="s">
        <v>156</v>
      </c>
      <c r="B14" s="1" t="s">
        <v>157</v>
      </c>
      <c r="C14" s="1" t="s">
        <v>26</v>
      </c>
      <c r="D14" s="1" t="s">
        <v>158</v>
      </c>
      <c r="E14" s="1" t="s">
        <v>28</v>
      </c>
      <c r="F14" s="1" t="s">
        <v>29</v>
      </c>
      <c r="G14" s="1" t="s">
        <v>30</v>
      </c>
      <c r="H14" s="1" t="s">
        <v>31</v>
      </c>
      <c r="I14" s="1" t="s">
        <v>46</v>
      </c>
      <c r="J14" s="1" t="s">
        <v>69</v>
      </c>
      <c r="K14">
        <v>553</v>
      </c>
      <c r="L14">
        <v>554</v>
      </c>
      <c r="M14">
        <v>2601934</v>
      </c>
      <c r="N14">
        <v>1204410</v>
      </c>
      <c r="O14">
        <v>46.990743999999999</v>
      </c>
      <c r="P14">
        <v>7.4640610000000001</v>
      </c>
      <c r="Q14" s="1" t="s">
        <v>48</v>
      </c>
      <c r="R14" s="1" t="s">
        <v>49</v>
      </c>
      <c r="S14" s="1" t="s">
        <v>50</v>
      </c>
      <c r="T14" s="1" t="s">
        <v>51</v>
      </c>
      <c r="U14" s="1" t="s">
        <v>159</v>
      </c>
      <c r="V14" s="1" t="s">
        <v>160</v>
      </c>
      <c r="W14" s="1" t="s">
        <v>161</v>
      </c>
      <c r="X14" s="1" t="s">
        <v>162</v>
      </c>
    </row>
    <row r="15" spans="1:24" x14ac:dyDescent="0.35">
      <c r="A15" s="1" t="s">
        <v>163</v>
      </c>
      <c r="B15" s="1" t="s">
        <v>164</v>
      </c>
      <c r="C15" s="1" t="s">
        <v>165</v>
      </c>
      <c r="D15" s="1" t="s">
        <v>166</v>
      </c>
      <c r="E15" s="1" t="s">
        <v>28</v>
      </c>
      <c r="F15" s="1" t="s">
        <v>29</v>
      </c>
      <c r="G15" s="1" t="s">
        <v>30</v>
      </c>
      <c r="H15" s="1" t="s">
        <v>31</v>
      </c>
      <c r="I15" s="1" t="s">
        <v>46</v>
      </c>
      <c r="J15" s="1" t="s">
        <v>167</v>
      </c>
      <c r="K15">
        <v>326</v>
      </c>
      <c r="L15">
        <v>327</v>
      </c>
      <c r="M15">
        <v>2659813</v>
      </c>
      <c r="N15">
        <v>1267696</v>
      </c>
      <c r="O15">
        <v>47.557256000000002</v>
      </c>
      <c r="P15">
        <v>8.2333250000000007</v>
      </c>
      <c r="Q15" s="1" t="s">
        <v>48</v>
      </c>
      <c r="R15" s="1" t="s">
        <v>49</v>
      </c>
      <c r="S15" s="1" t="s">
        <v>50</v>
      </c>
      <c r="T15" s="1" t="s">
        <v>51</v>
      </c>
      <c r="U15" s="1" t="s">
        <v>168</v>
      </c>
      <c r="V15" s="1" t="s">
        <v>169</v>
      </c>
      <c r="W15" s="1" t="s">
        <v>170</v>
      </c>
      <c r="X15" s="1" t="s">
        <v>171</v>
      </c>
    </row>
    <row r="16" spans="1:24" x14ac:dyDescent="0.35">
      <c r="A16" s="1" t="s">
        <v>172</v>
      </c>
      <c r="B16" s="1" t="s">
        <v>173</v>
      </c>
      <c r="C16" s="1" t="s">
        <v>174</v>
      </c>
      <c r="D16" s="1" t="s">
        <v>175</v>
      </c>
      <c r="E16" s="1" t="s">
        <v>28</v>
      </c>
      <c r="F16" s="1" t="s">
        <v>29</v>
      </c>
      <c r="G16" s="1" t="s">
        <v>30</v>
      </c>
      <c r="H16" s="1" t="s">
        <v>31</v>
      </c>
      <c r="I16" s="1" t="s">
        <v>46</v>
      </c>
      <c r="J16" s="1" t="s">
        <v>176</v>
      </c>
      <c r="K16">
        <v>278</v>
      </c>
      <c r="L16">
        <v>279</v>
      </c>
      <c r="M16">
        <v>2718535</v>
      </c>
      <c r="N16">
        <v>1132792</v>
      </c>
      <c r="O16">
        <v>46.336053</v>
      </c>
      <c r="P16">
        <v>8.9781969999999998</v>
      </c>
      <c r="Q16" s="1" t="s">
        <v>48</v>
      </c>
      <c r="R16" s="1" t="s">
        <v>49</v>
      </c>
      <c r="S16" s="1" t="s">
        <v>50</v>
      </c>
      <c r="T16" s="1" t="s">
        <v>51</v>
      </c>
      <c r="U16" s="1" t="s">
        <v>177</v>
      </c>
      <c r="V16" s="1" t="s">
        <v>178</v>
      </c>
      <c r="W16" s="1" t="s">
        <v>179</v>
      </c>
      <c r="X16" s="1" t="s">
        <v>180</v>
      </c>
    </row>
    <row r="17" spans="1:24" x14ac:dyDescent="0.35">
      <c r="A17" s="1" t="s">
        <v>181</v>
      </c>
      <c r="B17" s="1" t="s">
        <v>182</v>
      </c>
      <c r="C17" s="1" t="s">
        <v>58</v>
      </c>
      <c r="D17" s="1" t="s">
        <v>183</v>
      </c>
      <c r="E17" s="1" t="s">
        <v>28</v>
      </c>
      <c r="F17" s="1" t="s">
        <v>29</v>
      </c>
      <c r="G17" s="1" t="s">
        <v>30</v>
      </c>
      <c r="H17" s="1" t="s">
        <v>31</v>
      </c>
      <c r="I17" s="1" t="s">
        <v>46</v>
      </c>
      <c r="J17" s="1" t="s">
        <v>184</v>
      </c>
      <c r="K17">
        <v>684</v>
      </c>
      <c r="L17">
        <v>684</v>
      </c>
      <c r="M17">
        <v>2515887</v>
      </c>
      <c r="N17">
        <v>1153211</v>
      </c>
      <c r="O17">
        <v>46.524908000000003</v>
      </c>
      <c r="P17">
        <v>6.3423860000000003</v>
      </c>
      <c r="Q17" s="1" t="s">
        <v>48</v>
      </c>
      <c r="R17" s="1" t="s">
        <v>49</v>
      </c>
      <c r="S17" s="1" t="s">
        <v>50</v>
      </c>
      <c r="T17" s="1" t="s">
        <v>51</v>
      </c>
      <c r="U17" s="1" t="s">
        <v>185</v>
      </c>
      <c r="V17" s="1" t="s">
        <v>186</v>
      </c>
      <c r="W17" s="1" t="s">
        <v>187</v>
      </c>
      <c r="X17" s="1" t="s">
        <v>188</v>
      </c>
    </row>
    <row r="18" spans="1:24" x14ac:dyDescent="0.35">
      <c r="A18" s="1" t="s">
        <v>189</v>
      </c>
      <c r="B18" s="1" t="s">
        <v>190</v>
      </c>
      <c r="C18" s="1" t="s">
        <v>112</v>
      </c>
      <c r="D18" s="1" t="s">
        <v>191</v>
      </c>
      <c r="E18" s="1" t="s">
        <v>28</v>
      </c>
      <c r="F18" s="1" t="s">
        <v>29</v>
      </c>
      <c r="G18" s="1" t="s">
        <v>30</v>
      </c>
      <c r="H18" s="1" t="s">
        <v>31</v>
      </c>
      <c r="I18" s="1" t="s">
        <v>46</v>
      </c>
      <c r="J18" s="1" t="s">
        <v>192</v>
      </c>
      <c r="K18">
        <v>1479</v>
      </c>
      <c r="M18">
        <v>2657996</v>
      </c>
      <c r="N18">
        <v>1135421</v>
      </c>
      <c r="O18">
        <v>46.367660999999998</v>
      </c>
      <c r="P18">
        <v>8.1923060000000003</v>
      </c>
      <c r="Q18" s="1" t="s">
        <v>193</v>
      </c>
      <c r="R18" s="1" t="s">
        <v>194</v>
      </c>
      <c r="S18" s="1" t="s">
        <v>195</v>
      </c>
      <c r="T18" s="1" t="s">
        <v>196</v>
      </c>
      <c r="U18" s="1" t="s">
        <v>197</v>
      </c>
      <c r="V18" s="1" t="s">
        <v>198</v>
      </c>
      <c r="W18" s="1" t="s">
        <v>199</v>
      </c>
      <c r="X18" s="1" t="s">
        <v>200</v>
      </c>
    </row>
    <row r="19" spans="1:24" x14ac:dyDescent="0.35">
      <c r="A19" s="1" t="s">
        <v>201</v>
      </c>
      <c r="B19" s="1" t="s">
        <v>202</v>
      </c>
      <c r="C19" s="1" t="s">
        <v>76</v>
      </c>
      <c r="D19" s="1" t="s">
        <v>203</v>
      </c>
      <c r="E19" s="1" t="s">
        <v>28</v>
      </c>
      <c r="F19" s="1" t="s">
        <v>29</v>
      </c>
      <c r="G19" s="1" t="s">
        <v>30</v>
      </c>
      <c r="H19" s="1" t="s">
        <v>31</v>
      </c>
      <c r="I19" s="1" t="s">
        <v>32</v>
      </c>
      <c r="J19" s="1" t="s">
        <v>204</v>
      </c>
      <c r="K19">
        <v>1856</v>
      </c>
      <c r="M19">
        <v>2771283</v>
      </c>
      <c r="N19">
        <v>1148119</v>
      </c>
      <c r="O19">
        <v>46.462494</v>
      </c>
      <c r="P19">
        <v>9.6686390000000006</v>
      </c>
      <c r="Q19" s="1" t="s">
        <v>205</v>
      </c>
      <c r="R19" s="1" t="s">
        <v>206</v>
      </c>
      <c r="S19" s="1" t="s">
        <v>207</v>
      </c>
      <c r="T19" s="1" t="s">
        <v>208</v>
      </c>
      <c r="U19" s="1" t="s">
        <v>209</v>
      </c>
      <c r="V19" s="1" t="s">
        <v>210</v>
      </c>
      <c r="W19" s="1" t="s">
        <v>211</v>
      </c>
      <c r="X19" s="1" t="s">
        <v>212</v>
      </c>
    </row>
    <row r="20" spans="1:24" x14ac:dyDescent="0.35">
      <c r="A20" s="1" t="s">
        <v>213</v>
      </c>
      <c r="B20" s="1" t="s">
        <v>214</v>
      </c>
      <c r="C20" s="1" t="s">
        <v>215</v>
      </c>
      <c r="D20" s="1" t="s">
        <v>216</v>
      </c>
      <c r="E20" s="1" t="s">
        <v>28</v>
      </c>
      <c r="F20" s="1" t="s">
        <v>29</v>
      </c>
      <c r="G20" s="1" t="s">
        <v>30</v>
      </c>
      <c r="H20" s="1" t="s">
        <v>31</v>
      </c>
      <c r="I20" s="1" t="s">
        <v>46</v>
      </c>
      <c r="J20" s="1" t="s">
        <v>176</v>
      </c>
      <c r="K20">
        <v>507</v>
      </c>
      <c r="L20">
        <v>508</v>
      </c>
      <c r="M20">
        <v>2737714</v>
      </c>
      <c r="N20">
        <v>1263613</v>
      </c>
      <c r="O20">
        <v>47.508828000000001</v>
      </c>
      <c r="P20">
        <v>9.2667970000000004</v>
      </c>
      <c r="Q20" s="1" t="s">
        <v>48</v>
      </c>
      <c r="R20" s="1" t="s">
        <v>49</v>
      </c>
      <c r="S20" s="1" t="s">
        <v>50</v>
      </c>
      <c r="T20" s="1" t="s">
        <v>51</v>
      </c>
      <c r="U20" s="1" t="s">
        <v>217</v>
      </c>
      <c r="V20" s="1" t="s">
        <v>218</v>
      </c>
      <c r="W20" s="1" t="s">
        <v>219</v>
      </c>
      <c r="X20" s="1" t="s">
        <v>220</v>
      </c>
    </row>
    <row r="21" spans="1:24" x14ac:dyDescent="0.35">
      <c r="A21" s="1" t="s">
        <v>221</v>
      </c>
      <c r="B21" s="1" t="s">
        <v>222</v>
      </c>
      <c r="C21" s="1" t="s">
        <v>112</v>
      </c>
      <c r="D21" s="1" t="s">
        <v>223</v>
      </c>
      <c r="E21" s="1" t="s">
        <v>28</v>
      </c>
      <c r="F21" s="1" t="s">
        <v>29</v>
      </c>
      <c r="G21" s="1" t="s">
        <v>30</v>
      </c>
      <c r="H21" s="1" t="s">
        <v>31</v>
      </c>
      <c r="I21" s="1" t="s">
        <v>46</v>
      </c>
      <c r="J21" s="1" t="s">
        <v>167</v>
      </c>
      <c r="K21">
        <v>1538</v>
      </c>
      <c r="L21">
        <v>1539</v>
      </c>
      <c r="M21">
        <v>2629564</v>
      </c>
      <c r="N21">
        <v>1141084</v>
      </c>
      <c r="O21">
        <v>46.420453000000002</v>
      </c>
      <c r="P21">
        <v>7.823194</v>
      </c>
      <c r="Q21" s="1" t="s">
        <v>193</v>
      </c>
      <c r="R21" s="1" t="s">
        <v>194</v>
      </c>
      <c r="S21" s="1" t="s">
        <v>195</v>
      </c>
      <c r="T21" s="1" t="s">
        <v>196</v>
      </c>
      <c r="U21" s="1" t="s">
        <v>224</v>
      </c>
      <c r="V21" s="1" t="s">
        <v>225</v>
      </c>
      <c r="W21" s="1" t="s">
        <v>226</v>
      </c>
      <c r="X21" s="1" t="s">
        <v>227</v>
      </c>
    </row>
    <row r="22" spans="1:24" x14ac:dyDescent="0.35">
      <c r="A22" s="1" t="s">
        <v>228</v>
      </c>
      <c r="B22" s="1" t="s">
        <v>229</v>
      </c>
      <c r="C22" s="1" t="s">
        <v>26</v>
      </c>
      <c r="D22" s="1" t="s">
        <v>230</v>
      </c>
      <c r="E22" s="1" t="s">
        <v>28</v>
      </c>
      <c r="F22" s="1" t="s">
        <v>29</v>
      </c>
      <c r="G22" s="1" t="s">
        <v>30</v>
      </c>
      <c r="H22" s="1" t="s">
        <v>31</v>
      </c>
      <c r="I22" s="1" t="s">
        <v>46</v>
      </c>
      <c r="J22" s="1" t="s">
        <v>167</v>
      </c>
      <c r="K22">
        <v>820</v>
      </c>
      <c r="L22">
        <v>821</v>
      </c>
      <c r="M22">
        <v>2595831</v>
      </c>
      <c r="N22">
        <v>1163587</v>
      </c>
      <c r="O22">
        <v>46.623519000000002</v>
      </c>
      <c r="P22">
        <v>7.3842059999999998</v>
      </c>
      <c r="Q22" s="1" t="s">
        <v>48</v>
      </c>
      <c r="R22" s="1" t="s">
        <v>49</v>
      </c>
      <c r="S22" s="1" t="s">
        <v>50</v>
      </c>
      <c r="T22" s="1" t="s">
        <v>51</v>
      </c>
      <c r="U22" s="1" t="s">
        <v>231</v>
      </c>
      <c r="V22" s="1" t="s">
        <v>232</v>
      </c>
      <c r="W22" s="1" t="s">
        <v>233</v>
      </c>
      <c r="X22" s="1" t="s">
        <v>234</v>
      </c>
    </row>
    <row r="23" spans="1:24" x14ac:dyDescent="0.35">
      <c r="A23" s="1" t="s">
        <v>235</v>
      </c>
      <c r="B23" s="1" t="s">
        <v>236</v>
      </c>
      <c r="C23" s="1" t="s">
        <v>112</v>
      </c>
      <c r="D23" s="1" t="s">
        <v>237</v>
      </c>
      <c r="E23" s="1" t="s">
        <v>28</v>
      </c>
      <c r="F23" s="1" t="s">
        <v>29</v>
      </c>
      <c r="G23" s="1" t="s">
        <v>30</v>
      </c>
      <c r="H23" s="1" t="s">
        <v>31</v>
      </c>
      <c r="I23" s="1" t="s">
        <v>46</v>
      </c>
      <c r="J23" s="1" t="s">
        <v>238</v>
      </c>
      <c r="K23">
        <v>374</v>
      </c>
      <c r="L23">
        <v>375</v>
      </c>
      <c r="M23">
        <v>2555263</v>
      </c>
      <c r="N23">
        <v>1138175</v>
      </c>
      <c r="O23">
        <v>46.393447000000002</v>
      </c>
      <c r="P23">
        <v>6.8570060000000002</v>
      </c>
      <c r="Q23" s="1" t="s">
        <v>48</v>
      </c>
      <c r="R23" s="1" t="s">
        <v>49</v>
      </c>
      <c r="S23" s="1" t="s">
        <v>50</v>
      </c>
      <c r="T23" s="1" t="s">
        <v>51</v>
      </c>
      <c r="U23" s="1" t="s">
        <v>239</v>
      </c>
      <c r="V23" s="1" t="s">
        <v>240</v>
      </c>
      <c r="W23" s="1" t="s">
        <v>241</v>
      </c>
      <c r="X23" s="1" t="s">
        <v>242</v>
      </c>
    </row>
    <row r="24" spans="1:24" x14ac:dyDescent="0.35">
      <c r="A24" s="1" t="s">
        <v>243</v>
      </c>
      <c r="B24" s="1" t="s">
        <v>244</v>
      </c>
      <c r="C24" s="1" t="s">
        <v>245</v>
      </c>
      <c r="D24" s="1" t="s">
        <v>246</v>
      </c>
      <c r="E24" s="1" t="s">
        <v>28</v>
      </c>
      <c r="F24" s="1" t="s">
        <v>29</v>
      </c>
      <c r="G24" s="1" t="s">
        <v>30</v>
      </c>
      <c r="H24" s="1" t="s">
        <v>31</v>
      </c>
      <c r="I24" s="1" t="s">
        <v>46</v>
      </c>
      <c r="J24" s="1" t="s">
        <v>33</v>
      </c>
      <c r="K24">
        <v>1050</v>
      </c>
      <c r="L24">
        <v>1051</v>
      </c>
      <c r="M24">
        <v>2536981</v>
      </c>
      <c r="N24">
        <v>1203975</v>
      </c>
      <c r="O24">
        <v>46.983843999999998</v>
      </c>
      <c r="P24">
        <v>6.6102970000000001</v>
      </c>
      <c r="Q24" s="1" t="s">
        <v>48</v>
      </c>
      <c r="R24" s="1" t="s">
        <v>49</v>
      </c>
      <c r="S24" s="1" t="s">
        <v>50</v>
      </c>
      <c r="T24" s="1" t="s">
        <v>51</v>
      </c>
      <c r="U24" s="1" t="s">
        <v>247</v>
      </c>
      <c r="V24" s="1" t="s">
        <v>248</v>
      </c>
      <c r="W24" s="1" t="s">
        <v>249</v>
      </c>
      <c r="X24" s="1" t="s">
        <v>250</v>
      </c>
    </row>
    <row r="25" spans="1:24" x14ac:dyDescent="0.35">
      <c r="A25" s="1" t="s">
        <v>251</v>
      </c>
      <c r="B25" s="1" t="s">
        <v>252</v>
      </c>
      <c r="C25" s="1" t="s">
        <v>26</v>
      </c>
      <c r="D25" s="1" t="s">
        <v>253</v>
      </c>
      <c r="E25" s="1" t="s">
        <v>28</v>
      </c>
      <c r="F25" s="1" t="s">
        <v>29</v>
      </c>
      <c r="G25" s="1" t="s">
        <v>30</v>
      </c>
      <c r="H25" s="1" t="s">
        <v>31</v>
      </c>
      <c r="I25" s="1" t="s">
        <v>46</v>
      </c>
      <c r="J25" s="1" t="s">
        <v>33</v>
      </c>
      <c r="K25">
        <v>567</v>
      </c>
      <c r="L25">
        <v>568</v>
      </c>
      <c r="M25">
        <v>2647553</v>
      </c>
      <c r="N25">
        <v>1176803</v>
      </c>
      <c r="O25">
        <v>46.740718999999999</v>
      </c>
      <c r="P25">
        <v>8.0608640000000005</v>
      </c>
      <c r="Q25" s="1" t="s">
        <v>48</v>
      </c>
      <c r="R25" s="1" t="s">
        <v>49</v>
      </c>
      <c r="S25" s="1" t="s">
        <v>50</v>
      </c>
      <c r="T25" s="1" t="s">
        <v>51</v>
      </c>
      <c r="U25" s="1" t="s">
        <v>254</v>
      </c>
      <c r="V25" s="1" t="s">
        <v>255</v>
      </c>
      <c r="W25" s="1" t="s">
        <v>256</v>
      </c>
      <c r="X25" s="1" t="s">
        <v>257</v>
      </c>
    </row>
    <row r="26" spans="1:24" x14ac:dyDescent="0.35">
      <c r="A26" s="1" t="s">
        <v>258</v>
      </c>
      <c r="B26" s="1" t="s">
        <v>259</v>
      </c>
      <c r="C26" s="1" t="s">
        <v>76</v>
      </c>
      <c r="D26" s="1" t="s">
        <v>260</v>
      </c>
      <c r="E26" s="1" t="s">
        <v>28</v>
      </c>
      <c r="F26" s="1" t="s">
        <v>29</v>
      </c>
      <c r="G26" s="1" t="s">
        <v>30</v>
      </c>
      <c r="H26" s="1" t="s">
        <v>31</v>
      </c>
      <c r="I26" s="1" t="s">
        <v>46</v>
      </c>
      <c r="J26" s="1" t="s">
        <v>261</v>
      </c>
      <c r="K26">
        <v>1971</v>
      </c>
      <c r="L26">
        <v>1970</v>
      </c>
      <c r="M26">
        <v>2816494</v>
      </c>
      <c r="N26">
        <v>1170255</v>
      </c>
      <c r="O26">
        <v>46.648408000000003</v>
      </c>
      <c r="P26">
        <v>10.267200000000001</v>
      </c>
      <c r="Q26" s="1" t="s">
        <v>48</v>
      </c>
      <c r="R26" s="1" t="s">
        <v>49</v>
      </c>
      <c r="S26" s="1" t="s">
        <v>50</v>
      </c>
      <c r="T26" s="1" t="s">
        <v>51</v>
      </c>
      <c r="U26" s="1" t="s">
        <v>262</v>
      </c>
      <c r="V26" s="1" t="s">
        <v>263</v>
      </c>
      <c r="W26" s="1" t="s">
        <v>264</v>
      </c>
      <c r="X26" s="1" t="s">
        <v>265</v>
      </c>
    </row>
    <row r="27" spans="1:24" x14ac:dyDescent="0.35">
      <c r="A27" s="1" t="s">
        <v>266</v>
      </c>
      <c r="B27" s="1" t="s">
        <v>267</v>
      </c>
      <c r="C27" s="1" t="s">
        <v>165</v>
      </c>
      <c r="D27" s="1" t="s">
        <v>268</v>
      </c>
      <c r="E27" s="1" t="s">
        <v>28</v>
      </c>
      <c r="F27" s="1" t="s">
        <v>29</v>
      </c>
      <c r="G27" s="1" t="s">
        <v>30</v>
      </c>
      <c r="H27" s="1" t="s">
        <v>31</v>
      </c>
      <c r="I27" s="1" t="s">
        <v>46</v>
      </c>
      <c r="J27" s="1" t="s">
        <v>167</v>
      </c>
      <c r="K27">
        <v>387</v>
      </c>
      <c r="L27">
        <v>388</v>
      </c>
      <c r="M27">
        <v>2648396</v>
      </c>
      <c r="N27">
        <v>1248370</v>
      </c>
      <c r="O27">
        <v>47.384380999999998</v>
      </c>
      <c r="P27">
        <v>8.0795499999999993</v>
      </c>
      <c r="Q27" s="1" t="s">
        <v>48</v>
      </c>
      <c r="R27" s="1" t="s">
        <v>49</v>
      </c>
      <c r="S27" s="1" t="s">
        <v>50</v>
      </c>
      <c r="T27" s="1" t="s">
        <v>51</v>
      </c>
      <c r="U27" s="1" t="s">
        <v>269</v>
      </c>
      <c r="V27" s="1" t="s">
        <v>270</v>
      </c>
      <c r="W27" s="1" t="s">
        <v>271</v>
      </c>
      <c r="X27" s="1" t="s">
        <v>272</v>
      </c>
    </row>
    <row r="28" spans="1:24" x14ac:dyDescent="0.35">
      <c r="A28" s="1" t="s">
        <v>273</v>
      </c>
      <c r="B28" s="1" t="s">
        <v>274</v>
      </c>
      <c r="C28" s="1" t="s">
        <v>245</v>
      </c>
      <c r="D28" s="1" t="s">
        <v>275</v>
      </c>
      <c r="E28" s="1" t="s">
        <v>28</v>
      </c>
      <c r="F28" s="1" t="s">
        <v>29</v>
      </c>
      <c r="G28" s="1" t="s">
        <v>30</v>
      </c>
      <c r="H28" s="1" t="s">
        <v>31</v>
      </c>
      <c r="I28" s="1" t="s">
        <v>46</v>
      </c>
      <c r="J28" s="1" t="s">
        <v>176</v>
      </c>
      <c r="K28">
        <v>1017</v>
      </c>
      <c r="L28">
        <v>1018</v>
      </c>
      <c r="M28">
        <v>2550919</v>
      </c>
      <c r="N28">
        <v>1214862</v>
      </c>
      <c r="O28">
        <v>47.082946999999997</v>
      </c>
      <c r="P28">
        <v>6.7923140000000002</v>
      </c>
      <c r="Q28" s="1" t="s">
        <v>85</v>
      </c>
      <c r="R28" s="1" t="s">
        <v>86</v>
      </c>
      <c r="S28" s="1" t="s">
        <v>87</v>
      </c>
      <c r="T28" s="1" t="s">
        <v>88</v>
      </c>
      <c r="U28" s="1" t="s">
        <v>276</v>
      </c>
      <c r="V28" s="1" t="s">
        <v>277</v>
      </c>
      <c r="W28" s="1" t="s">
        <v>278</v>
      </c>
      <c r="X28" s="1" t="s">
        <v>279</v>
      </c>
    </row>
    <row r="29" spans="1:24" x14ac:dyDescent="0.35">
      <c r="A29" s="1" t="s">
        <v>280</v>
      </c>
      <c r="B29" s="1" t="s">
        <v>281</v>
      </c>
      <c r="C29" s="1" t="s">
        <v>58</v>
      </c>
      <c r="D29" s="1" t="s">
        <v>282</v>
      </c>
      <c r="E29" s="1" t="s">
        <v>28</v>
      </c>
      <c r="F29" s="1" t="s">
        <v>29</v>
      </c>
      <c r="G29" s="1" t="s">
        <v>30</v>
      </c>
      <c r="H29" s="1" t="s">
        <v>31</v>
      </c>
      <c r="I29" s="1" t="s">
        <v>46</v>
      </c>
      <c r="J29" s="1" t="s">
        <v>283</v>
      </c>
      <c r="K29">
        <v>1412</v>
      </c>
      <c r="M29">
        <v>2573817</v>
      </c>
      <c r="N29">
        <v>1137853</v>
      </c>
      <c r="O29">
        <v>46.391525000000001</v>
      </c>
      <c r="P29">
        <v>7.0982390000000004</v>
      </c>
      <c r="Q29" s="1" t="s">
        <v>148</v>
      </c>
      <c r="R29" s="1" t="s">
        <v>149</v>
      </c>
      <c r="S29" s="1" t="s">
        <v>150</v>
      </c>
      <c r="T29" s="1" t="s">
        <v>151</v>
      </c>
      <c r="U29" s="1" t="s">
        <v>284</v>
      </c>
      <c r="V29" s="1" t="s">
        <v>285</v>
      </c>
      <c r="W29" s="1" t="s">
        <v>286</v>
      </c>
      <c r="X29" s="1" t="s">
        <v>287</v>
      </c>
    </row>
    <row r="30" spans="1:24" x14ac:dyDescent="0.35">
      <c r="A30" s="1" t="s">
        <v>288</v>
      </c>
      <c r="B30" s="1" t="s">
        <v>289</v>
      </c>
      <c r="C30" s="1" t="s">
        <v>174</v>
      </c>
      <c r="D30" s="1" t="s">
        <v>290</v>
      </c>
      <c r="E30" s="1" t="s">
        <v>28</v>
      </c>
      <c r="F30" s="1" t="s">
        <v>29</v>
      </c>
      <c r="G30" s="1" t="s">
        <v>30</v>
      </c>
      <c r="H30" s="1" t="s">
        <v>31</v>
      </c>
      <c r="I30" s="1" t="s">
        <v>46</v>
      </c>
      <c r="J30" s="1" t="s">
        <v>176</v>
      </c>
      <c r="K30">
        <v>417</v>
      </c>
      <c r="L30">
        <v>422</v>
      </c>
      <c r="M30">
        <v>2689688</v>
      </c>
      <c r="N30">
        <v>1130564</v>
      </c>
      <c r="O30">
        <v>46.320486000000002</v>
      </c>
      <c r="P30">
        <v>8.6031610000000001</v>
      </c>
      <c r="Q30" s="1" t="s">
        <v>193</v>
      </c>
      <c r="R30" s="1" t="s">
        <v>194</v>
      </c>
      <c r="S30" s="1" t="s">
        <v>195</v>
      </c>
      <c r="T30" s="1" t="s">
        <v>196</v>
      </c>
      <c r="U30" s="1" t="s">
        <v>291</v>
      </c>
      <c r="V30" s="1" t="s">
        <v>292</v>
      </c>
      <c r="W30" s="1" t="s">
        <v>293</v>
      </c>
      <c r="X30" s="1" t="s">
        <v>294</v>
      </c>
    </row>
    <row r="31" spans="1:24" x14ac:dyDescent="0.35">
      <c r="A31" s="1" t="s">
        <v>295</v>
      </c>
      <c r="B31" s="1" t="s">
        <v>296</v>
      </c>
      <c r="C31" s="1" t="s">
        <v>58</v>
      </c>
      <c r="D31" s="1" t="s">
        <v>297</v>
      </c>
      <c r="E31" s="1" t="s">
        <v>28</v>
      </c>
      <c r="F31" s="1" t="s">
        <v>29</v>
      </c>
      <c r="G31" s="1" t="s">
        <v>30</v>
      </c>
      <c r="H31" s="1" t="s">
        <v>31</v>
      </c>
      <c r="I31" s="1" t="s">
        <v>46</v>
      </c>
      <c r="J31" s="1" t="s">
        <v>167</v>
      </c>
      <c r="K31">
        <v>458</v>
      </c>
      <c r="L31">
        <v>460</v>
      </c>
      <c r="M31">
        <v>2506878</v>
      </c>
      <c r="N31">
        <v>1139574</v>
      </c>
      <c r="O31">
        <v>46.401052999999997</v>
      </c>
      <c r="P31">
        <v>6.227722</v>
      </c>
      <c r="Q31" s="1" t="s">
        <v>136</v>
      </c>
      <c r="R31" s="1" t="s">
        <v>137</v>
      </c>
      <c r="S31" s="1" t="s">
        <v>138</v>
      </c>
      <c r="T31" s="1" t="s">
        <v>139</v>
      </c>
      <c r="U31" s="1" t="s">
        <v>298</v>
      </c>
      <c r="V31" s="1" t="s">
        <v>299</v>
      </c>
      <c r="W31" s="1" t="s">
        <v>300</v>
      </c>
      <c r="X31" s="1" t="s">
        <v>301</v>
      </c>
    </row>
    <row r="32" spans="1:24" x14ac:dyDescent="0.35">
      <c r="A32" s="1" t="s">
        <v>302</v>
      </c>
      <c r="B32" s="1" t="s">
        <v>303</v>
      </c>
      <c r="C32" s="1" t="s">
        <v>26</v>
      </c>
      <c r="D32" s="1" t="s">
        <v>304</v>
      </c>
      <c r="E32" s="1" t="s">
        <v>28</v>
      </c>
      <c r="F32" s="1" t="s">
        <v>29</v>
      </c>
      <c r="G32" s="1" t="s">
        <v>30</v>
      </c>
      <c r="H32" s="1" t="s">
        <v>31</v>
      </c>
      <c r="I32" s="1" t="s">
        <v>46</v>
      </c>
      <c r="J32" s="1" t="s">
        <v>305</v>
      </c>
      <c r="K32">
        <v>1594</v>
      </c>
      <c r="L32">
        <v>1596</v>
      </c>
      <c r="M32">
        <v>2570845</v>
      </c>
      <c r="N32">
        <v>1220158</v>
      </c>
      <c r="O32">
        <v>47.131760999999997</v>
      </c>
      <c r="P32">
        <v>7.0543670000000001</v>
      </c>
      <c r="Q32" s="1" t="s">
        <v>115</v>
      </c>
      <c r="R32" s="1" t="s">
        <v>116</v>
      </c>
      <c r="S32" s="1" t="s">
        <v>117</v>
      </c>
      <c r="T32" s="1" t="s">
        <v>118</v>
      </c>
      <c r="U32" s="1" t="s">
        <v>306</v>
      </c>
      <c r="V32" s="1" t="s">
        <v>307</v>
      </c>
      <c r="W32" s="1" t="s">
        <v>308</v>
      </c>
      <c r="X32" s="1" t="s">
        <v>309</v>
      </c>
    </row>
    <row r="33" spans="1:24" x14ac:dyDescent="0.35">
      <c r="A33" s="1" t="s">
        <v>310</v>
      </c>
      <c r="B33" s="1" t="s">
        <v>311</v>
      </c>
      <c r="C33" s="1" t="s">
        <v>58</v>
      </c>
      <c r="D33" s="1" t="s">
        <v>312</v>
      </c>
      <c r="E33" s="1" t="s">
        <v>28</v>
      </c>
      <c r="F33" s="1" t="s">
        <v>29</v>
      </c>
      <c r="G33" s="1" t="s">
        <v>30</v>
      </c>
      <c r="H33" s="1" t="s">
        <v>31</v>
      </c>
      <c r="I33" s="1" t="s">
        <v>46</v>
      </c>
      <c r="J33" s="1" t="s">
        <v>167</v>
      </c>
      <c r="K33">
        <v>1045</v>
      </c>
      <c r="L33">
        <v>1046</v>
      </c>
      <c r="M33">
        <v>2513821</v>
      </c>
      <c r="N33">
        <v>1169388</v>
      </c>
      <c r="O33">
        <v>46.67015</v>
      </c>
      <c r="P33">
        <v>6.3124279999999997</v>
      </c>
      <c r="Q33" s="1" t="s">
        <v>205</v>
      </c>
      <c r="R33" s="1" t="s">
        <v>206</v>
      </c>
      <c r="S33" s="1" t="s">
        <v>207</v>
      </c>
      <c r="T33" s="1" t="s">
        <v>208</v>
      </c>
      <c r="U33" s="1" t="s">
        <v>313</v>
      </c>
      <c r="V33" s="1" t="s">
        <v>314</v>
      </c>
      <c r="W33" s="1" t="s">
        <v>315</v>
      </c>
      <c r="X33" s="1" t="s">
        <v>316</v>
      </c>
    </row>
    <row r="34" spans="1:24" x14ac:dyDescent="0.35">
      <c r="A34" s="1" t="s">
        <v>317</v>
      </c>
      <c r="B34" s="1" t="s">
        <v>318</v>
      </c>
      <c r="C34" s="1" t="s">
        <v>58</v>
      </c>
      <c r="D34" s="1" t="s">
        <v>319</v>
      </c>
      <c r="E34" s="1" t="s">
        <v>28</v>
      </c>
      <c r="F34" s="1" t="s">
        <v>29</v>
      </c>
      <c r="G34" s="1" t="s">
        <v>30</v>
      </c>
      <c r="H34" s="1" t="s">
        <v>31</v>
      </c>
      <c r="I34" s="1" t="s">
        <v>46</v>
      </c>
      <c r="J34" s="1" t="s">
        <v>320</v>
      </c>
      <c r="K34">
        <v>1028</v>
      </c>
      <c r="L34">
        <v>1029</v>
      </c>
      <c r="M34">
        <v>2577040</v>
      </c>
      <c r="N34">
        <v>1147655</v>
      </c>
      <c r="O34">
        <v>46.479818999999999</v>
      </c>
      <c r="P34">
        <v>7.1396559999999996</v>
      </c>
      <c r="Q34" s="1" t="s">
        <v>205</v>
      </c>
      <c r="R34" s="1" t="s">
        <v>206</v>
      </c>
      <c r="S34" s="1" t="s">
        <v>207</v>
      </c>
      <c r="T34" s="1" t="s">
        <v>208</v>
      </c>
      <c r="U34" s="1" t="s">
        <v>321</v>
      </c>
      <c r="V34" s="1" t="s">
        <v>322</v>
      </c>
      <c r="W34" s="1" t="s">
        <v>323</v>
      </c>
      <c r="X34" s="1" t="s">
        <v>324</v>
      </c>
    </row>
    <row r="35" spans="1:24" x14ac:dyDescent="0.35">
      <c r="A35" s="1" t="s">
        <v>325</v>
      </c>
      <c r="B35" s="1" t="s">
        <v>326</v>
      </c>
      <c r="C35" s="1" t="s">
        <v>245</v>
      </c>
      <c r="D35" s="1" t="s">
        <v>327</v>
      </c>
      <c r="E35" s="1" t="s">
        <v>28</v>
      </c>
      <c r="F35" s="1" t="s">
        <v>29</v>
      </c>
      <c r="G35" s="1" t="s">
        <v>30</v>
      </c>
      <c r="H35" s="1" t="s">
        <v>31</v>
      </c>
      <c r="I35" s="1" t="s">
        <v>46</v>
      </c>
      <c r="J35" s="1" t="s">
        <v>69</v>
      </c>
      <c r="K35">
        <v>1136</v>
      </c>
      <c r="L35">
        <v>1137</v>
      </c>
      <c r="M35">
        <v>2565060</v>
      </c>
      <c r="N35">
        <v>1211007</v>
      </c>
      <c r="O35">
        <v>47.049168999999999</v>
      </c>
      <c r="P35">
        <v>6.9788249999999996</v>
      </c>
      <c r="Q35" s="1" t="s">
        <v>136</v>
      </c>
      <c r="R35" s="1" t="s">
        <v>137</v>
      </c>
      <c r="S35" s="1" t="s">
        <v>138</v>
      </c>
      <c r="T35" s="1" t="s">
        <v>139</v>
      </c>
      <c r="U35" s="1" t="s">
        <v>328</v>
      </c>
      <c r="V35" s="1" t="s">
        <v>329</v>
      </c>
      <c r="W35" s="1" t="s">
        <v>330</v>
      </c>
      <c r="X35" s="1" t="s">
        <v>331</v>
      </c>
    </row>
    <row r="36" spans="1:24" x14ac:dyDescent="0.35">
      <c r="A36" s="1" t="s">
        <v>332</v>
      </c>
      <c r="B36" s="1" t="s">
        <v>333</v>
      </c>
      <c r="C36" s="1" t="s">
        <v>76</v>
      </c>
      <c r="D36" s="1" t="s">
        <v>334</v>
      </c>
      <c r="E36" s="1" t="s">
        <v>28</v>
      </c>
      <c r="F36" s="1" t="s">
        <v>29</v>
      </c>
      <c r="G36" s="1" t="s">
        <v>30</v>
      </c>
      <c r="H36" s="1" t="s">
        <v>31</v>
      </c>
      <c r="I36" s="1" t="s">
        <v>46</v>
      </c>
      <c r="J36" s="1" t="s">
        <v>335</v>
      </c>
      <c r="K36">
        <v>556</v>
      </c>
      <c r="L36">
        <v>557</v>
      </c>
      <c r="M36">
        <v>2759485</v>
      </c>
      <c r="N36">
        <v>1193176</v>
      </c>
      <c r="O36">
        <v>46.870572000000003</v>
      </c>
      <c r="P36">
        <v>9.530761</v>
      </c>
      <c r="Q36" s="1" t="s">
        <v>48</v>
      </c>
      <c r="R36" s="1" t="s">
        <v>49</v>
      </c>
      <c r="S36" s="1" t="s">
        <v>50</v>
      </c>
      <c r="T36" s="1" t="s">
        <v>51</v>
      </c>
      <c r="U36" s="1" t="s">
        <v>336</v>
      </c>
      <c r="V36" s="1" t="s">
        <v>337</v>
      </c>
      <c r="W36" s="1" t="s">
        <v>338</v>
      </c>
      <c r="X36" s="1" t="s">
        <v>339</v>
      </c>
    </row>
    <row r="37" spans="1:24" x14ac:dyDescent="0.35">
      <c r="A37" s="1" t="s">
        <v>340</v>
      </c>
      <c r="B37" s="1" t="s">
        <v>341</v>
      </c>
      <c r="C37" s="1" t="s">
        <v>44</v>
      </c>
      <c r="D37" s="1" t="s">
        <v>342</v>
      </c>
      <c r="E37" s="1" t="s">
        <v>28</v>
      </c>
      <c r="F37" s="1" t="s">
        <v>29</v>
      </c>
      <c r="G37" s="1" t="s">
        <v>30</v>
      </c>
      <c r="H37" s="1" t="s">
        <v>31</v>
      </c>
      <c r="I37" s="1" t="s">
        <v>46</v>
      </c>
      <c r="J37" s="1" t="s">
        <v>60</v>
      </c>
      <c r="K37">
        <v>443</v>
      </c>
      <c r="L37">
        <v>443</v>
      </c>
      <c r="M37">
        <v>2677759</v>
      </c>
      <c r="N37">
        <v>1226878</v>
      </c>
      <c r="O37">
        <v>47.188277999999997</v>
      </c>
      <c r="P37">
        <v>8.4646419999999996</v>
      </c>
      <c r="Q37" s="1" t="s">
        <v>136</v>
      </c>
      <c r="R37" s="1" t="s">
        <v>137</v>
      </c>
      <c r="S37" s="1" t="s">
        <v>138</v>
      </c>
      <c r="T37" s="1" t="s">
        <v>139</v>
      </c>
      <c r="U37" s="1" t="s">
        <v>343</v>
      </c>
      <c r="V37" s="1" t="s">
        <v>344</v>
      </c>
      <c r="W37" s="1" t="s">
        <v>345</v>
      </c>
      <c r="X37" s="1" t="s">
        <v>346</v>
      </c>
    </row>
    <row r="38" spans="1:24" x14ac:dyDescent="0.35">
      <c r="A38" s="1" t="s">
        <v>347</v>
      </c>
      <c r="B38" s="1" t="s">
        <v>348</v>
      </c>
      <c r="C38" s="1" t="s">
        <v>174</v>
      </c>
      <c r="D38" s="1" t="s">
        <v>349</v>
      </c>
      <c r="E38" s="1" t="s">
        <v>28</v>
      </c>
      <c r="F38" s="1" t="s">
        <v>29</v>
      </c>
      <c r="G38" s="1" t="s">
        <v>30</v>
      </c>
      <c r="H38" s="1" t="s">
        <v>31</v>
      </c>
      <c r="I38" s="1" t="s">
        <v>46</v>
      </c>
      <c r="J38" s="1" t="s">
        <v>350</v>
      </c>
      <c r="K38">
        <v>1661</v>
      </c>
      <c r="L38">
        <v>1662</v>
      </c>
      <c r="M38">
        <v>2704434</v>
      </c>
      <c r="N38">
        <v>1117457</v>
      </c>
      <c r="O38">
        <v>46.200467000000003</v>
      </c>
      <c r="P38">
        <v>8.7916500000000006</v>
      </c>
      <c r="Q38" s="1" t="s">
        <v>115</v>
      </c>
      <c r="R38" s="1" t="s">
        <v>116</v>
      </c>
      <c r="S38" s="1" t="s">
        <v>117</v>
      </c>
      <c r="T38" s="1" t="s">
        <v>118</v>
      </c>
      <c r="U38" s="1" t="s">
        <v>351</v>
      </c>
      <c r="V38" s="1" t="s">
        <v>352</v>
      </c>
      <c r="W38" s="1" t="s">
        <v>353</v>
      </c>
      <c r="X38" s="1" t="s">
        <v>354</v>
      </c>
    </row>
    <row r="39" spans="1:24" x14ac:dyDescent="0.35">
      <c r="A39" s="1" t="s">
        <v>355</v>
      </c>
      <c r="B39" s="1" t="s">
        <v>356</v>
      </c>
      <c r="C39" s="1" t="s">
        <v>76</v>
      </c>
      <c r="D39" s="1" t="s">
        <v>357</v>
      </c>
      <c r="E39" s="1" t="s">
        <v>28</v>
      </c>
      <c r="F39" s="1" t="s">
        <v>29</v>
      </c>
      <c r="G39" s="1" t="s">
        <v>30</v>
      </c>
      <c r="H39" s="1" t="s">
        <v>31</v>
      </c>
      <c r="I39" s="1" t="s">
        <v>46</v>
      </c>
      <c r="J39" s="1" t="s">
        <v>358</v>
      </c>
      <c r="K39">
        <v>2468</v>
      </c>
      <c r="L39">
        <v>2484</v>
      </c>
      <c r="M39">
        <v>2732824</v>
      </c>
      <c r="N39">
        <v>1189378</v>
      </c>
      <c r="O39">
        <v>46.842275000000001</v>
      </c>
      <c r="P39">
        <v>9.1800420000000003</v>
      </c>
      <c r="Q39" s="1" t="s">
        <v>115</v>
      </c>
      <c r="R39" s="1" t="s">
        <v>116</v>
      </c>
      <c r="S39" s="1" t="s">
        <v>117</v>
      </c>
      <c r="T39" s="1" t="s">
        <v>118</v>
      </c>
      <c r="U39" s="1" t="s">
        <v>359</v>
      </c>
      <c r="V39" s="1" t="s">
        <v>360</v>
      </c>
      <c r="W39" s="1" t="s">
        <v>361</v>
      </c>
      <c r="X39" s="1" t="s">
        <v>362</v>
      </c>
    </row>
    <row r="40" spans="1:24" x14ac:dyDescent="0.35">
      <c r="A40" s="1" t="s">
        <v>363</v>
      </c>
      <c r="B40" s="1" t="s">
        <v>364</v>
      </c>
      <c r="C40" s="1" t="s">
        <v>174</v>
      </c>
      <c r="D40" s="1" t="s">
        <v>365</v>
      </c>
      <c r="E40" s="1" t="s">
        <v>28</v>
      </c>
      <c r="F40" s="1" t="s">
        <v>29</v>
      </c>
      <c r="G40" s="1" t="s">
        <v>30</v>
      </c>
      <c r="H40" s="1" t="s">
        <v>31</v>
      </c>
      <c r="I40" s="1" t="s">
        <v>46</v>
      </c>
      <c r="J40" s="1" t="s">
        <v>176</v>
      </c>
      <c r="K40">
        <v>575</v>
      </c>
      <c r="L40">
        <v>576</v>
      </c>
      <c r="M40">
        <v>2714985</v>
      </c>
      <c r="N40">
        <v>1146451</v>
      </c>
      <c r="O40">
        <v>46.459516999999998</v>
      </c>
      <c r="P40">
        <v>8.9354859999999992</v>
      </c>
      <c r="Q40" s="1" t="s">
        <v>193</v>
      </c>
      <c r="R40" s="1" t="s">
        <v>194</v>
      </c>
      <c r="S40" s="1" t="s">
        <v>195</v>
      </c>
      <c r="T40" s="1" t="s">
        <v>196</v>
      </c>
      <c r="U40" s="1" t="s">
        <v>366</v>
      </c>
      <c r="V40" s="1" t="s">
        <v>367</v>
      </c>
      <c r="W40" s="1" t="s">
        <v>368</v>
      </c>
      <c r="X40" s="1" t="s">
        <v>369</v>
      </c>
    </row>
    <row r="41" spans="1:24" x14ac:dyDescent="0.35">
      <c r="A41" s="1" t="s">
        <v>370</v>
      </c>
      <c r="B41" s="1" t="s">
        <v>371</v>
      </c>
      <c r="C41" s="1" t="s">
        <v>76</v>
      </c>
      <c r="D41" s="1" t="s">
        <v>372</v>
      </c>
      <c r="E41" s="1" t="s">
        <v>28</v>
      </c>
      <c r="F41" s="1" t="s">
        <v>29</v>
      </c>
      <c r="G41" s="1" t="s">
        <v>30</v>
      </c>
      <c r="H41" s="1" t="s">
        <v>31</v>
      </c>
      <c r="I41" s="1" t="s">
        <v>46</v>
      </c>
      <c r="J41" s="1" t="s">
        <v>373</v>
      </c>
      <c r="K41">
        <v>3294</v>
      </c>
      <c r="L41">
        <v>3302</v>
      </c>
      <c r="M41">
        <v>2783156</v>
      </c>
      <c r="N41">
        <v>1143524</v>
      </c>
      <c r="O41">
        <v>46.418039</v>
      </c>
      <c r="P41">
        <v>9.8213080000000001</v>
      </c>
      <c r="Q41" s="1" t="s">
        <v>115</v>
      </c>
      <c r="R41" s="1" t="s">
        <v>116</v>
      </c>
      <c r="S41" s="1" t="s">
        <v>117</v>
      </c>
      <c r="T41" s="1" t="s">
        <v>118</v>
      </c>
      <c r="U41" s="1" t="s">
        <v>374</v>
      </c>
      <c r="V41" s="1" t="s">
        <v>375</v>
      </c>
      <c r="W41" s="1" t="s">
        <v>376</v>
      </c>
      <c r="X41" s="1" t="s">
        <v>377</v>
      </c>
    </row>
    <row r="42" spans="1:24" x14ac:dyDescent="0.35">
      <c r="A42" s="1" t="s">
        <v>378</v>
      </c>
      <c r="B42" s="1" t="s">
        <v>379</v>
      </c>
      <c r="C42" s="1" t="s">
        <v>26</v>
      </c>
      <c r="D42" s="1" t="s">
        <v>380</v>
      </c>
      <c r="E42" s="1" t="s">
        <v>28</v>
      </c>
      <c r="F42" s="1" t="s">
        <v>29</v>
      </c>
      <c r="G42" s="1" t="s">
        <v>30</v>
      </c>
      <c r="H42" s="1" t="s">
        <v>31</v>
      </c>
      <c r="I42" s="1" t="s">
        <v>46</v>
      </c>
      <c r="J42" s="1" t="s">
        <v>381</v>
      </c>
      <c r="K42">
        <v>695</v>
      </c>
      <c r="M42">
        <v>2573623</v>
      </c>
      <c r="N42">
        <v>1225598</v>
      </c>
      <c r="O42">
        <v>47.180810999999999</v>
      </c>
      <c r="P42">
        <v>7.0906560000000001</v>
      </c>
      <c r="Q42" s="1" t="s">
        <v>48</v>
      </c>
      <c r="R42" s="1" t="s">
        <v>49</v>
      </c>
      <c r="S42" s="1" t="s">
        <v>50</v>
      </c>
      <c r="T42" s="1" t="s">
        <v>51</v>
      </c>
      <c r="U42" s="1" t="s">
        <v>382</v>
      </c>
      <c r="V42" s="1" t="s">
        <v>383</v>
      </c>
      <c r="W42" s="1" t="s">
        <v>384</v>
      </c>
      <c r="X42" s="1" t="s">
        <v>385</v>
      </c>
    </row>
    <row r="43" spans="1:24" x14ac:dyDescent="0.35">
      <c r="A43" s="1" t="s">
        <v>386</v>
      </c>
      <c r="B43" s="1" t="s">
        <v>387</v>
      </c>
      <c r="C43" s="1" t="s">
        <v>245</v>
      </c>
      <c r="D43" s="1" t="s">
        <v>388</v>
      </c>
      <c r="E43" s="1" t="s">
        <v>28</v>
      </c>
      <c r="F43" s="1" t="s">
        <v>29</v>
      </c>
      <c r="G43" s="1" t="s">
        <v>30</v>
      </c>
      <c r="H43" s="1" t="s">
        <v>31</v>
      </c>
      <c r="I43" s="1" t="s">
        <v>46</v>
      </c>
      <c r="J43" s="1" t="s">
        <v>389</v>
      </c>
      <c r="K43">
        <v>430</v>
      </c>
      <c r="L43">
        <v>431</v>
      </c>
      <c r="M43">
        <v>2571163</v>
      </c>
      <c r="N43">
        <v>1210798</v>
      </c>
      <c r="O43">
        <v>47.047581000000001</v>
      </c>
      <c r="P43">
        <v>7.0591470000000003</v>
      </c>
      <c r="Q43" s="1" t="s">
        <v>48</v>
      </c>
      <c r="R43" s="1" t="s">
        <v>49</v>
      </c>
      <c r="S43" s="1" t="s">
        <v>50</v>
      </c>
      <c r="T43" s="1" t="s">
        <v>51</v>
      </c>
      <c r="U43" s="1" t="s">
        <v>390</v>
      </c>
      <c r="V43" s="1" t="s">
        <v>391</v>
      </c>
      <c r="W43" s="1" t="s">
        <v>392</v>
      </c>
      <c r="X43" s="1" t="s">
        <v>393</v>
      </c>
    </row>
    <row r="44" spans="1:24" x14ac:dyDescent="0.35">
      <c r="A44" s="1" t="s">
        <v>394</v>
      </c>
      <c r="B44" s="1" t="s">
        <v>395</v>
      </c>
      <c r="C44" s="1" t="s">
        <v>76</v>
      </c>
      <c r="D44" s="1" t="s">
        <v>396</v>
      </c>
      <c r="E44" s="1" t="s">
        <v>28</v>
      </c>
      <c r="F44" s="1" t="s">
        <v>29</v>
      </c>
      <c r="G44" s="1" t="s">
        <v>30</v>
      </c>
      <c r="H44" s="1" t="s">
        <v>31</v>
      </c>
      <c r="I44" s="1" t="s">
        <v>32</v>
      </c>
      <c r="J44" s="1" t="s">
        <v>69</v>
      </c>
      <c r="K44">
        <v>1594</v>
      </c>
      <c r="L44">
        <v>1596</v>
      </c>
      <c r="M44">
        <v>2783519</v>
      </c>
      <c r="N44">
        <v>1187459</v>
      </c>
      <c r="O44">
        <v>46.812969000000002</v>
      </c>
      <c r="P44">
        <v>9.8435579999999998</v>
      </c>
      <c r="Q44" s="1" t="s">
        <v>34</v>
      </c>
      <c r="R44" s="1" t="s">
        <v>35</v>
      </c>
      <c r="S44" s="1" t="s">
        <v>36</v>
      </c>
      <c r="T44" s="1" t="s">
        <v>37</v>
      </c>
      <c r="U44" s="1" t="s">
        <v>397</v>
      </c>
      <c r="V44" s="1" t="s">
        <v>398</v>
      </c>
      <c r="W44" s="1" t="s">
        <v>399</v>
      </c>
      <c r="X44" s="1" t="s">
        <v>400</v>
      </c>
    </row>
    <row r="45" spans="1:24" x14ac:dyDescent="0.35">
      <c r="A45" s="1" t="s">
        <v>401</v>
      </c>
      <c r="B45" s="1" t="s">
        <v>402</v>
      </c>
      <c r="C45" s="1" t="s">
        <v>403</v>
      </c>
      <c r="D45" s="1" t="s">
        <v>404</v>
      </c>
      <c r="E45" s="1" t="s">
        <v>28</v>
      </c>
      <c r="F45" s="1" t="s">
        <v>29</v>
      </c>
      <c r="G45" s="1" t="s">
        <v>30</v>
      </c>
      <c r="H45" s="1" t="s">
        <v>31</v>
      </c>
      <c r="I45" s="1" t="s">
        <v>46</v>
      </c>
      <c r="J45" s="1" t="s">
        <v>405</v>
      </c>
      <c r="K45">
        <v>439</v>
      </c>
      <c r="L45">
        <v>440</v>
      </c>
      <c r="M45">
        <v>2593270</v>
      </c>
      <c r="N45">
        <v>1244543</v>
      </c>
      <c r="O45">
        <v>47.351706</v>
      </c>
      <c r="P45">
        <v>7.3495670000000004</v>
      </c>
      <c r="Q45" s="1" t="s">
        <v>48</v>
      </c>
      <c r="R45" s="1" t="s">
        <v>49</v>
      </c>
      <c r="S45" s="1" t="s">
        <v>50</v>
      </c>
      <c r="T45" s="1" t="s">
        <v>51</v>
      </c>
      <c r="U45" s="1" t="s">
        <v>406</v>
      </c>
      <c r="V45" s="1" t="s">
        <v>407</v>
      </c>
      <c r="W45" s="1" t="s">
        <v>408</v>
      </c>
      <c r="X45" s="1" t="s">
        <v>409</v>
      </c>
    </row>
    <row r="46" spans="1:24" x14ac:dyDescent="0.35">
      <c r="A46" s="1" t="s">
        <v>410</v>
      </c>
      <c r="B46" s="1" t="s">
        <v>411</v>
      </c>
      <c r="C46" s="1" t="s">
        <v>58</v>
      </c>
      <c r="D46" s="1" t="s">
        <v>412</v>
      </c>
      <c r="E46" s="1" t="s">
        <v>28</v>
      </c>
      <c r="F46" s="1" t="s">
        <v>29</v>
      </c>
      <c r="G46" s="1" t="s">
        <v>30</v>
      </c>
      <c r="H46" s="1" t="s">
        <v>31</v>
      </c>
      <c r="I46" s="1" t="s">
        <v>46</v>
      </c>
      <c r="J46" s="1" t="s">
        <v>413</v>
      </c>
      <c r="K46">
        <v>2964</v>
      </c>
      <c r="L46">
        <v>2965</v>
      </c>
      <c r="M46">
        <v>2581913</v>
      </c>
      <c r="N46">
        <v>1130622</v>
      </c>
      <c r="O46">
        <v>46.326749999999997</v>
      </c>
      <c r="P46">
        <v>7.2037810000000002</v>
      </c>
      <c r="Q46" s="1" t="s">
        <v>115</v>
      </c>
      <c r="R46" s="1" t="s">
        <v>116</v>
      </c>
      <c r="S46" s="1" t="s">
        <v>117</v>
      </c>
      <c r="T46" s="1" t="s">
        <v>118</v>
      </c>
      <c r="U46" s="1" t="s">
        <v>414</v>
      </c>
      <c r="V46" s="1" t="s">
        <v>415</v>
      </c>
      <c r="W46" s="1" t="s">
        <v>416</v>
      </c>
      <c r="X46" s="1" t="s">
        <v>417</v>
      </c>
    </row>
    <row r="47" spans="1:24" x14ac:dyDescent="0.35">
      <c r="A47" s="1" t="s">
        <v>418</v>
      </c>
      <c r="B47" s="1" t="s">
        <v>419</v>
      </c>
      <c r="C47" s="1" t="s">
        <v>76</v>
      </c>
      <c r="D47" s="1" t="s">
        <v>420</v>
      </c>
      <c r="E47" s="1" t="s">
        <v>28</v>
      </c>
      <c r="F47" s="1" t="s">
        <v>29</v>
      </c>
      <c r="G47" s="1" t="s">
        <v>30</v>
      </c>
      <c r="H47" s="1" t="s">
        <v>31</v>
      </c>
      <c r="I47" s="1" t="s">
        <v>46</v>
      </c>
      <c r="J47" s="1" t="s">
        <v>167</v>
      </c>
      <c r="K47">
        <v>1197</v>
      </c>
      <c r="L47">
        <v>1198</v>
      </c>
      <c r="M47">
        <v>2708191</v>
      </c>
      <c r="N47">
        <v>1173793</v>
      </c>
      <c r="O47">
        <v>46.706569000000002</v>
      </c>
      <c r="P47">
        <v>8.8534780000000008</v>
      </c>
      <c r="Q47" s="1" t="s">
        <v>34</v>
      </c>
      <c r="R47" s="1" t="s">
        <v>35</v>
      </c>
      <c r="S47" s="1" t="s">
        <v>36</v>
      </c>
      <c r="T47" s="1" t="s">
        <v>37</v>
      </c>
      <c r="U47" s="1" t="s">
        <v>421</v>
      </c>
      <c r="V47" s="1" t="s">
        <v>422</v>
      </c>
      <c r="W47" s="1" t="s">
        <v>423</v>
      </c>
      <c r="X47" s="1" t="s">
        <v>424</v>
      </c>
    </row>
    <row r="48" spans="1:24" x14ac:dyDescent="0.35">
      <c r="A48" s="1" t="s">
        <v>425</v>
      </c>
      <c r="B48" s="1" t="s">
        <v>426</v>
      </c>
      <c r="C48" s="1" t="s">
        <v>58</v>
      </c>
      <c r="D48" s="1" t="s">
        <v>427</v>
      </c>
      <c r="E48" s="1" t="s">
        <v>28</v>
      </c>
      <c r="F48" s="1" t="s">
        <v>29</v>
      </c>
      <c r="G48" s="1" t="s">
        <v>30</v>
      </c>
      <c r="H48" s="1" t="s">
        <v>31</v>
      </c>
      <c r="I48" s="1" t="s">
        <v>46</v>
      </c>
      <c r="J48" s="1" t="s">
        <v>428</v>
      </c>
      <c r="K48">
        <v>1670</v>
      </c>
      <c r="L48">
        <v>1671</v>
      </c>
      <c r="M48">
        <v>2497059</v>
      </c>
      <c r="N48">
        <v>1142373</v>
      </c>
      <c r="O48">
        <v>46.424793999999999</v>
      </c>
      <c r="P48">
        <v>6.0994529999999996</v>
      </c>
      <c r="Q48" s="1" t="s">
        <v>115</v>
      </c>
      <c r="R48" s="1" t="s">
        <v>116</v>
      </c>
      <c r="S48" s="1" t="s">
        <v>117</v>
      </c>
      <c r="T48" s="1" t="s">
        <v>118</v>
      </c>
      <c r="U48" s="1" t="s">
        <v>429</v>
      </c>
      <c r="V48" s="1" t="s">
        <v>430</v>
      </c>
      <c r="W48" s="1" t="s">
        <v>431</v>
      </c>
      <c r="X48" s="1" t="s">
        <v>432</v>
      </c>
    </row>
    <row r="49" spans="1:24" x14ac:dyDescent="0.35">
      <c r="A49" s="1" t="s">
        <v>433</v>
      </c>
      <c r="B49" s="1" t="s">
        <v>434</v>
      </c>
      <c r="C49" s="1" t="s">
        <v>95</v>
      </c>
      <c r="D49" s="1" t="s">
        <v>435</v>
      </c>
      <c r="E49" s="1" t="s">
        <v>28</v>
      </c>
      <c r="F49" s="1" t="s">
        <v>29</v>
      </c>
      <c r="G49" s="1" t="s">
        <v>30</v>
      </c>
      <c r="H49" s="1" t="s">
        <v>31</v>
      </c>
      <c r="I49" s="1" t="s">
        <v>46</v>
      </c>
      <c r="J49" s="1" t="s">
        <v>436</v>
      </c>
      <c r="K49">
        <v>623</v>
      </c>
      <c r="L49">
        <v>624</v>
      </c>
      <c r="M49">
        <v>2726348</v>
      </c>
      <c r="N49">
        <v>1237176</v>
      </c>
      <c r="O49">
        <v>47.273389000000002</v>
      </c>
      <c r="P49">
        <v>9.1084940000000003</v>
      </c>
      <c r="Q49" s="1" t="s">
        <v>193</v>
      </c>
      <c r="R49" s="1" t="s">
        <v>194</v>
      </c>
      <c r="S49" s="1" t="s">
        <v>195</v>
      </c>
      <c r="T49" s="1" t="s">
        <v>196</v>
      </c>
      <c r="U49" s="1" t="s">
        <v>437</v>
      </c>
      <c r="V49" s="1" t="s">
        <v>438</v>
      </c>
      <c r="W49" s="1" t="s">
        <v>439</v>
      </c>
      <c r="X49" s="1" t="s">
        <v>440</v>
      </c>
    </row>
    <row r="50" spans="1:24" x14ac:dyDescent="0.35">
      <c r="A50" s="1" t="s">
        <v>441</v>
      </c>
      <c r="B50" s="1" t="s">
        <v>442</v>
      </c>
      <c r="C50" s="1" t="s">
        <v>112</v>
      </c>
      <c r="D50" s="1" t="s">
        <v>443</v>
      </c>
      <c r="E50" s="1" t="s">
        <v>28</v>
      </c>
      <c r="F50" s="1" t="s">
        <v>29</v>
      </c>
      <c r="G50" s="1" t="s">
        <v>30</v>
      </c>
      <c r="H50" s="1" t="s">
        <v>31</v>
      </c>
      <c r="I50" s="1" t="s">
        <v>46</v>
      </c>
      <c r="J50" s="1" t="s">
        <v>444</v>
      </c>
      <c r="K50">
        <v>2892</v>
      </c>
      <c r="L50">
        <v>2893</v>
      </c>
      <c r="M50">
        <v>2650279</v>
      </c>
      <c r="N50">
        <v>1141897</v>
      </c>
      <c r="O50">
        <v>46.426527999999998</v>
      </c>
      <c r="P50">
        <v>8.0927279999999993</v>
      </c>
      <c r="Q50" s="1" t="s">
        <v>115</v>
      </c>
      <c r="R50" s="1" t="s">
        <v>116</v>
      </c>
      <c r="S50" s="1" t="s">
        <v>117</v>
      </c>
      <c r="T50" s="1" t="s">
        <v>118</v>
      </c>
      <c r="U50" s="1" t="s">
        <v>445</v>
      </c>
      <c r="V50" s="1" t="s">
        <v>446</v>
      </c>
      <c r="W50" s="1" t="s">
        <v>447</v>
      </c>
      <c r="X50" s="1" t="s">
        <v>448</v>
      </c>
    </row>
    <row r="51" spans="1:24" x14ac:dyDescent="0.35">
      <c r="A51" s="1" t="s">
        <v>449</v>
      </c>
      <c r="B51" s="1" t="s">
        <v>450</v>
      </c>
      <c r="C51" s="1" t="s">
        <v>451</v>
      </c>
      <c r="D51" s="1" t="s">
        <v>452</v>
      </c>
      <c r="E51" s="1" t="s">
        <v>28</v>
      </c>
      <c r="F51" s="1" t="s">
        <v>29</v>
      </c>
      <c r="G51" s="1" t="s">
        <v>30</v>
      </c>
      <c r="H51" s="1" t="s">
        <v>31</v>
      </c>
      <c r="I51" s="1" t="s">
        <v>46</v>
      </c>
      <c r="J51" s="1" t="s">
        <v>60</v>
      </c>
      <c r="K51">
        <v>522</v>
      </c>
      <c r="L51">
        <v>523</v>
      </c>
      <c r="M51">
        <v>2642913</v>
      </c>
      <c r="N51">
        <v>1225541</v>
      </c>
      <c r="O51">
        <v>47.179428000000001</v>
      </c>
      <c r="P51">
        <v>8.0047580000000007</v>
      </c>
      <c r="Q51" s="1" t="s">
        <v>48</v>
      </c>
      <c r="R51" s="1" t="s">
        <v>49</v>
      </c>
      <c r="S51" s="1" t="s">
        <v>50</v>
      </c>
      <c r="T51" s="1" t="s">
        <v>51</v>
      </c>
      <c r="U51" s="1" t="s">
        <v>453</v>
      </c>
      <c r="V51" s="1" t="s">
        <v>454</v>
      </c>
      <c r="W51" s="1" t="s">
        <v>455</v>
      </c>
      <c r="X51" s="1" t="s">
        <v>456</v>
      </c>
    </row>
    <row r="52" spans="1:24" x14ac:dyDescent="0.35">
      <c r="A52" s="1" t="s">
        <v>457</v>
      </c>
      <c r="B52" s="1" t="s">
        <v>458</v>
      </c>
      <c r="C52" s="1" t="s">
        <v>459</v>
      </c>
      <c r="D52" s="1" t="s">
        <v>460</v>
      </c>
      <c r="E52" s="1" t="s">
        <v>28</v>
      </c>
      <c r="F52" s="1" t="s">
        <v>29</v>
      </c>
      <c r="G52" s="1" t="s">
        <v>30</v>
      </c>
      <c r="H52" s="1" t="s">
        <v>31</v>
      </c>
      <c r="I52" s="1" t="s">
        <v>46</v>
      </c>
      <c r="J52" s="1" t="s">
        <v>69</v>
      </c>
      <c r="K52">
        <v>911</v>
      </c>
      <c r="L52">
        <v>912</v>
      </c>
      <c r="M52">
        <v>2699984</v>
      </c>
      <c r="N52">
        <v>1221068</v>
      </c>
      <c r="O52">
        <v>47.133042000000003</v>
      </c>
      <c r="P52">
        <v>8.7565559999999998</v>
      </c>
      <c r="Q52" s="1" t="s">
        <v>48</v>
      </c>
      <c r="R52" s="1" t="s">
        <v>49</v>
      </c>
      <c r="S52" s="1" t="s">
        <v>50</v>
      </c>
      <c r="T52" s="1" t="s">
        <v>51</v>
      </c>
      <c r="U52" s="1" t="s">
        <v>461</v>
      </c>
      <c r="V52" s="1" t="s">
        <v>462</v>
      </c>
      <c r="W52" s="1" t="s">
        <v>463</v>
      </c>
      <c r="X52" s="1" t="s">
        <v>464</v>
      </c>
    </row>
    <row r="53" spans="1:24" x14ac:dyDescent="0.35">
      <c r="A53" s="1" t="s">
        <v>465</v>
      </c>
      <c r="B53" s="1" t="s">
        <v>466</v>
      </c>
      <c r="C53" s="1" t="s">
        <v>467</v>
      </c>
      <c r="D53" s="1" t="s">
        <v>468</v>
      </c>
      <c r="E53" s="1" t="s">
        <v>28</v>
      </c>
      <c r="F53" s="1" t="s">
        <v>29</v>
      </c>
      <c r="G53" s="1" t="s">
        <v>30</v>
      </c>
      <c r="H53" s="1" t="s">
        <v>31</v>
      </c>
      <c r="I53" s="1" t="s">
        <v>46</v>
      </c>
      <c r="J53" s="1" t="s">
        <v>469</v>
      </c>
      <c r="K53">
        <v>958</v>
      </c>
      <c r="L53">
        <v>958</v>
      </c>
      <c r="M53">
        <v>2732266</v>
      </c>
      <c r="N53">
        <v>1198424</v>
      </c>
      <c r="O53">
        <v>46.923741999999997</v>
      </c>
      <c r="P53">
        <v>9.1753470000000004</v>
      </c>
      <c r="Q53" s="1" t="s">
        <v>48</v>
      </c>
      <c r="R53" s="1" t="s">
        <v>49</v>
      </c>
      <c r="S53" s="1" t="s">
        <v>50</v>
      </c>
      <c r="T53" s="1" t="s">
        <v>51</v>
      </c>
      <c r="U53" s="1" t="s">
        <v>470</v>
      </c>
      <c r="V53" s="1" t="s">
        <v>471</v>
      </c>
      <c r="W53" s="1" t="s">
        <v>472</v>
      </c>
      <c r="X53" s="1" t="s">
        <v>473</v>
      </c>
    </row>
    <row r="54" spans="1:24" x14ac:dyDescent="0.35">
      <c r="A54" s="1" t="s">
        <v>474</v>
      </c>
      <c r="B54" s="1" t="s">
        <v>475</v>
      </c>
      <c r="C54" s="1" t="s">
        <v>476</v>
      </c>
      <c r="D54" s="1" t="s">
        <v>477</v>
      </c>
      <c r="E54" s="1" t="s">
        <v>28</v>
      </c>
      <c r="F54" s="1" t="s">
        <v>29</v>
      </c>
      <c r="G54" s="1" t="s">
        <v>30</v>
      </c>
      <c r="H54" s="1" t="s">
        <v>31</v>
      </c>
      <c r="I54" s="1" t="s">
        <v>32</v>
      </c>
      <c r="J54" s="1" t="s">
        <v>69</v>
      </c>
      <c r="K54">
        <v>1036</v>
      </c>
      <c r="L54">
        <v>1037</v>
      </c>
      <c r="M54">
        <v>2674162</v>
      </c>
      <c r="N54">
        <v>1186069</v>
      </c>
      <c r="O54">
        <v>46.821638999999998</v>
      </c>
      <c r="P54">
        <v>8.4105139999999992</v>
      </c>
      <c r="Q54" s="1" t="s">
        <v>478</v>
      </c>
      <c r="R54" s="1" t="s">
        <v>479</v>
      </c>
      <c r="S54" s="1" t="s">
        <v>480</v>
      </c>
      <c r="T54" s="1" t="s">
        <v>481</v>
      </c>
      <c r="U54" s="1" t="s">
        <v>482</v>
      </c>
      <c r="V54" s="1" t="s">
        <v>483</v>
      </c>
      <c r="W54" s="1" t="s">
        <v>484</v>
      </c>
      <c r="X54" s="1" t="s">
        <v>485</v>
      </c>
    </row>
    <row r="55" spans="1:24" x14ac:dyDescent="0.35">
      <c r="A55" s="1" t="s">
        <v>486</v>
      </c>
      <c r="B55" s="1" t="s">
        <v>487</v>
      </c>
      <c r="C55" s="1" t="s">
        <v>112</v>
      </c>
      <c r="D55" s="1" t="s">
        <v>488</v>
      </c>
      <c r="E55" s="1" t="s">
        <v>28</v>
      </c>
      <c r="F55" s="1" t="s">
        <v>29</v>
      </c>
      <c r="G55" s="1" t="s">
        <v>30</v>
      </c>
      <c r="H55" s="1" t="s">
        <v>31</v>
      </c>
      <c r="I55" s="1" t="s">
        <v>46</v>
      </c>
      <c r="J55" s="1" t="s">
        <v>489</v>
      </c>
      <c r="K55">
        <v>482</v>
      </c>
      <c r="L55">
        <v>483</v>
      </c>
      <c r="M55">
        <v>2568196</v>
      </c>
      <c r="N55">
        <v>1114693</v>
      </c>
      <c r="O55">
        <v>46.182952999999998</v>
      </c>
      <c r="P55">
        <v>7.0267470000000003</v>
      </c>
      <c r="Q55" s="1" t="s">
        <v>136</v>
      </c>
      <c r="R55" s="1" t="s">
        <v>137</v>
      </c>
      <c r="S55" s="1" t="s">
        <v>138</v>
      </c>
      <c r="T55" s="1" t="s">
        <v>139</v>
      </c>
      <c r="U55" s="1" t="s">
        <v>490</v>
      </c>
      <c r="V55" s="1" t="s">
        <v>491</v>
      </c>
      <c r="W55" s="1" t="s">
        <v>492</v>
      </c>
      <c r="X55" s="1" t="s">
        <v>493</v>
      </c>
    </row>
    <row r="56" spans="1:24" x14ac:dyDescent="0.35">
      <c r="A56" s="1" t="s">
        <v>494</v>
      </c>
      <c r="B56" s="1" t="s">
        <v>495</v>
      </c>
      <c r="C56" s="1" t="s">
        <v>112</v>
      </c>
      <c r="D56" s="1" t="s">
        <v>496</v>
      </c>
      <c r="E56" s="1" t="s">
        <v>28</v>
      </c>
      <c r="F56" s="1" t="s">
        <v>29</v>
      </c>
      <c r="G56" s="1" t="s">
        <v>30</v>
      </c>
      <c r="H56" s="1" t="s">
        <v>31</v>
      </c>
      <c r="I56" s="1" t="s">
        <v>46</v>
      </c>
      <c r="J56" s="1" t="s">
        <v>497</v>
      </c>
      <c r="K56">
        <v>1825</v>
      </c>
      <c r="L56">
        <v>1829</v>
      </c>
      <c r="M56">
        <v>2605412</v>
      </c>
      <c r="N56">
        <v>1106748</v>
      </c>
      <c r="O56">
        <v>46.112211000000002</v>
      </c>
      <c r="P56">
        <v>7.5086310000000003</v>
      </c>
      <c r="Q56" s="1" t="s">
        <v>478</v>
      </c>
      <c r="R56" s="1" t="s">
        <v>479</v>
      </c>
      <c r="S56" s="1" t="s">
        <v>480</v>
      </c>
      <c r="T56" s="1" t="s">
        <v>481</v>
      </c>
      <c r="U56" s="1" t="s">
        <v>498</v>
      </c>
      <c r="V56" s="1" t="s">
        <v>499</v>
      </c>
      <c r="W56" s="1" t="s">
        <v>500</v>
      </c>
      <c r="X56" s="1" t="s">
        <v>501</v>
      </c>
    </row>
    <row r="57" spans="1:24" x14ac:dyDescent="0.35">
      <c r="A57" s="1" t="s">
        <v>502</v>
      </c>
      <c r="B57" s="1" t="s">
        <v>503</v>
      </c>
      <c r="C57" s="1" t="s">
        <v>403</v>
      </c>
      <c r="D57" s="1" t="s">
        <v>504</v>
      </c>
      <c r="E57" s="1" t="s">
        <v>28</v>
      </c>
      <c r="F57" s="1" t="s">
        <v>29</v>
      </c>
      <c r="G57" s="1" t="s">
        <v>30</v>
      </c>
      <c r="H57" s="1" t="s">
        <v>31</v>
      </c>
      <c r="I57" s="1" t="s">
        <v>46</v>
      </c>
      <c r="J57" s="1" t="s">
        <v>505</v>
      </c>
      <c r="K57">
        <v>596</v>
      </c>
      <c r="L57">
        <v>598</v>
      </c>
      <c r="M57">
        <v>2562465</v>
      </c>
      <c r="N57">
        <v>1252676</v>
      </c>
      <c r="O57">
        <v>47.423814</v>
      </c>
      <c r="P57">
        <v>6.9411940000000003</v>
      </c>
      <c r="Q57" s="1" t="s">
        <v>48</v>
      </c>
      <c r="R57" s="1" t="s">
        <v>49</v>
      </c>
      <c r="S57" s="1" t="s">
        <v>50</v>
      </c>
      <c r="T57" s="1" t="s">
        <v>51</v>
      </c>
      <c r="U57" s="1" t="s">
        <v>506</v>
      </c>
      <c r="V57" s="1" t="s">
        <v>507</v>
      </c>
      <c r="W57" s="1" t="s">
        <v>508</v>
      </c>
      <c r="X57" s="1" t="s">
        <v>509</v>
      </c>
    </row>
    <row r="58" spans="1:24" x14ac:dyDescent="0.35">
      <c r="A58" s="1" t="s">
        <v>510</v>
      </c>
      <c r="B58" s="1" t="s">
        <v>511</v>
      </c>
      <c r="C58" s="1" t="s">
        <v>451</v>
      </c>
      <c r="D58" s="1" t="s">
        <v>512</v>
      </c>
      <c r="E58" s="1" t="s">
        <v>28</v>
      </c>
      <c r="F58" s="1" t="s">
        <v>29</v>
      </c>
      <c r="G58" s="1" t="s">
        <v>30</v>
      </c>
      <c r="H58" s="1" t="s">
        <v>31</v>
      </c>
      <c r="I58" s="1" t="s">
        <v>46</v>
      </c>
      <c r="J58" s="1" t="s">
        <v>513</v>
      </c>
      <c r="K58">
        <v>940</v>
      </c>
      <c r="M58">
        <v>2644333</v>
      </c>
      <c r="N58">
        <v>1193311</v>
      </c>
      <c r="O58">
        <v>46.889436000000003</v>
      </c>
      <c r="P58">
        <v>8.0203360000000004</v>
      </c>
      <c r="Q58" s="1" t="s">
        <v>514</v>
      </c>
      <c r="R58" s="1" t="s">
        <v>515</v>
      </c>
      <c r="S58" s="1" t="s">
        <v>516</v>
      </c>
      <c r="T58" s="1" t="s">
        <v>517</v>
      </c>
      <c r="U58" s="1" t="s">
        <v>518</v>
      </c>
      <c r="V58" s="1" t="s">
        <v>519</v>
      </c>
      <c r="W58" s="1" t="s">
        <v>520</v>
      </c>
      <c r="X58" s="1" t="s">
        <v>521</v>
      </c>
    </row>
    <row r="59" spans="1:24" x14ac:dyDescent="0.35">
      <c r="A59" s="1" t="s">
        <v>522</v>
      </c>
      <c r="B59" s="1" t="s">
        <v>523</v>
      </c>
      <c r="C59" s="1" t="s">
        <v>58</v>
      </c>
      <c r="D59" s="1" t="s">
        <v>524</v>
      </c>
      <c r="E59" s="1" t="s">
        <v>28</v>
      </c>
      <c r="F59" s="1" t="s">
        <v>29</v>
      </c>
      <c r="G59" s="1" t="s">
        <v>30</v>
      </c>
      <c r="H59" s="1" t="s">
        <v>31</v>
      </c>
      <c r="I59" s="1" t="s">
        <v>46</v>
      </c>
      <c r="J59" s="1" t="s">
        <v>525</v>
      </c>
      <c r="K59">
        <v>1205</v>
      </c>
      <c r="L59">
        <v>1207</v>
      </c>
      <c r="M59">
        <v>2534225</v>
      </c>
      <c r="N59">
        <v>1188082</v>
      </c>
      <c r="O59">
        <v>46.840622000000003</v>
      </c>
      <c r="P59">
        <v>6.5763689999999997</v>
      </c>
      <c r="Q59" s="1" t="s">
        <v>34</v>
      </c>
      <c r="R59" s="1" t="s">
        <v>35</v>
      </c>
      <c r="S59" s="1" t="s">
        <v>36</v>
      </c>
      <c r="T59" s="1" t="s">
        <v>37</v>
      </c>
      <c r="U59" s="1" t="s">
        <v>526</v>
      </c>
      <c r="V59" s="1" t="s">
        <v>527</v>
      </c>
      <c r="W59" s="1" t="s">
        <v>528</v>
      </c>
      <c r="X59" s="1" t="s">
        <v>529</v>
      </c>
    </row>
    <row r="60" spans="1:24" x14ac:dyDescent="0.35">
      <c r="A60" s="1" t="s">
        <v>530</v>
      </c>
      <c r="B60" s="1" t="s">
        <v>531</v>
      </c>
      <c r="C60" s="1" t="s">
        <v>26</v>
      </c>
      <c r="D60" s="1" t="s">
        <v>532</v>
      </c>
      <c r="E60" s="1" t="s">
        <v>28</v>
      </c>
      <c r="F60" s="1" t="s">
        <v>29</v>
      </c>
      <c r="G60" s="1" t="s">
        <v>30</v>
      </c>
      <c r="H60" s="1" t="s">
        <v>31</v>
      </c>
      <c r="I60" s="1" t="s">
        <v>46</v>
      </c>
      <c r="J60" s="1" t="s">
        <v>33</v>
      </c>
      <c r="K60">
        <v>756</v>
      </c>
      <c r="M60">
        <v>2616773</v>
      </c>
      <c r="N60">
        <v>1160884</v>
      </c>
      <c r="O60">
        <v>46.599003000000003</v>
      </c>
      <c r="P60">
        <v>7.6575420000000003</v>
      </c>
      <c r="Q60" s="1" t="s">
        <v>48</v>
      </c>
      <c r="R60" s="1" t="s">
        <v>49</v>
      </c>
      <c r="S60" s="1" t="s">
        <v>50</v>
      </c>
      <c r="T60" s="1" t="s">
        <v>51</v>
      </c>
      <c r="U60" s="1" t="s">
        <v>533</v>
      </c>
      <c r="V60" s="1" t="s">
        <v>534</v>
      </c>
      <c r="W60" s="1" t="s">
        <v>535</v>
      </c>
      <c r="X60" s="1" t="s">
        <v>536</v>
      </c>
    </row>
    <row r="61" spans="1:24" x14ac:dyDescent="0.35">
      <c r="A61" s="1" t="s">
        <v>537</v>
      </c>
      <c r="B61" s="1" t="s">
        <v>538</v>
      </c>
      <c r="C61" s="1" t="s">
        <v>174</v>
      </c>
      <c r="D61" s="1" t="s">
        <v>539</v>
      </c>
      <c r="E61" s="1" t="s">
        <v>28</v>
      </c>
      <c r="F61" s="1" t="s">
        <v>29</v>
      </c>
      <c r="G61" s="1" t="s">
        <v>30</v>
      </c>
      <c r="H61" s="1" t="s">
        <v>31</v>
      </c>
      <c r="I61" s="1" t="s">
        <v>46</v>
      </c>
      <c r="J61" s="1" t="s">
        <v>540</v>
      </c>
      <c r="K61">
        <v>1600</v>
      </c>
      <c r="L61">
        <v>1601</v>
      </c>
      <c r="M61">
        <v>2722503</v>
      </c>
      <c r="N61">
        <v>1087455</v>
      </c>
      <c r="O61">
        <v>45.927591999999997</v>
      </c>
      <c r="P61">
        <v>9.0178750000000001</v>
      </c>
      <c r="Q61" s="1" t="s">
        <v>115</v>
      </c>
      <c r="R61" s="1" t="s">
        <v>116</v>
      </c>
      <c r="S61" s="1" t="s">
        <v>117</v>
      </c>
      <c r="T61" s="1" t="s">
        <v>118</v>
      </c>
      <c r="U61" s="1" t="s">
        <v>541</v>
      </c>
      <c r="V61" s="1" t="s">
        <v>542</v>
      </c>
      <c r="W61" s="1" t="s">
        <v>543</v>
      </c>
      <c r="X61" s="1" t="s">
        <v>544</v>
      </c>
    </row>
    <row r="62" spans="1:24" x14ac:dyDescent="0.35">
      <c r="A62" s="1" t="s">
        <v>545</v>
      </c>
      <c r="B62" s="1" t="s">
        <v>546</v>
      </c>
      <c r="C62" s="1" t="s">
        <v>459</v>
      </c>
      <c r="D62" s="1" t="s">
        <v>547</v>
      </c>
      <c r="E62" s="1" t="s">
        <v>28</v>
      </c>
      <c r="F62" s="1" t="s">
        <v>29</v>
      </c>
      <c r="G62" s="1" t="s">
        <v>30</v>
      </c>
      <c r="H62" s="1" t="s">
        <v>31</v>
      </c>
      <c r="I62" s="1" t="s">
        <v>46</v>
      </c>
      <c r="J62" s="1" t="s">
        <v>548</v>
      </c>
      <c r="K62">
        <v>521</v>
      </c>
      <c r="L62">
        <v>521</v>
      </c>
      <c r="M62">
        <v>2682510</v>
      </c>
      <c r="N62">
        <v>1205572</v>
      </c>
      <c r="O62">
        <v>46.996068999999999</v>
      </c>
      <c r="P62">
        <v>8.5234419999999993</v>
      </c>
      <c r="Q62" s="1" t="s">
        <v>205</v>
      </c>
      <c r="R62" s="1" t="s">
        <v>206</v>
      </c>
      <c r="S62" s="1" t="s">
        <v>207</v>
      </c>
      <c r="T62" s="1" t="s">
        <v>208</v>
      </c>
      <c r="U62" s="1" t="s">
        <v>549</v>
      </c>
      <c r="V62" s="1" t="s">
        <v>550</v>
      </c>
      <c r="W62" s="1" t="s">
        <v>551</v>
      </c>
      <c r="X62" s="1" t="s">
        <v>552</v>
      </c>
    </row>
    <row r="63" spans="1:24" x14ac:dyDescent="0.35">
      <c r="A63" s="1" t="s">
        <v>553</v>
      </c>
      <c r="B63" s="1" t="s">
        <v>554</v>
      </c>
      <c r="C63" s="1" t="s">
        <v>476</v>
      </c>
      <c r="D63" s="1" t="s">
        <v>555</v>
      </c>
      <c r="E63" s="1" t="s">
        <v>28</v>
      </c>
      <c r="F63" s="1" t="s">
        <v>29</v>
      </c>
      <c r="G63" s="1" t="s">
        <v>30</v>
      </c>
      <c r="H63" s="1" t="s">
        <v>31</v>
      </c>
      <c r="I63" s="1" t="s">
        <v>46</v>
      </c>
      <c r="J63" s="1" t="s">
        <v>556</v>
      </c>
      <c r="K63">
        <v>471</v>
      </c>
      <c r="L63">
        <v>472</v>
      </c>
      <c r="M63">
        <v>2657323</v>
      </c>
      <c r="N63">
        <v>1188976</v>
      </c>
      <c r="O63">
        <v>46.849446999999998</v>
      </c>
      <c r="P63">
        <v>8.1902249999999999</v>
      </c>
      <c r="Q63" s="1" t="s">
        <v>48</v>
      </c>
      <c r="R63" s="1" t="s">
        <v>49</v>
      </c>
      <c r="S63" s="1" t="s">
        <v>50</v>
      </c>
      <c r="T63" s="1" t="s">
        <v>51</v>
      </c>
      <c r="U63" s="1" t="s">
        <v>557</v>
      </c>
      <c r="V63" s="1" t="s">
        <v>558</v>
      </c>
      <c r="W63" s="1" t="s">
        <v>559</v>
      </c>
      <c r="X63" s="1" t="s">
        <v>560</v>
      </c>
    </row>
    <row r="64" spans="1:24" x14ac:dyDescent="0.35">
      <c r="A64" s="1" t="s">
        <v>561</v>
      </c>
      <c r="B64" s="1" t="s">
        <v>562</v>
      </c>
      <c r="C64" s="1" t="s">
        <v>467</v>
      </c>
      <c r="D64" s="1" t="s">
        <v>563</v>
      </c>
      <c r="E64" s="1" t="s">
        <v>28</v>
      </c>
      <c r="F64" s="1" t="s">
        <v>29</v>
      </c>
      <c r="G64" s="1" t="s">
        <v>30</v>
      </c>
      <c r="H64" s="1" t="s">
        <v>31</v>
      </c>
      <c r="I64" s="1" t="s">
        <v>46</v>
      </c>
      <c r="J64" s="1" t="s">
        <v>69</v>
      </c>
      <c r="K64">
        <v>517</v>
      </c>
      <c r="L64">
        <v>518</v>
      </c>
      <c r="M64">
        <v>2723757</v>
      </c>
      <c r="N64">
        <v>1210567</v>
      </c>
      <c r="O64">
        <v>47.034585999999997</v>
      </c>
      <c r="P64">
        <v>9.0669609999999992</v>
      </c>
      <c r="Q64" s="1" t="s">
        <v>136</v>
      </c>
      <c r="R64" s="1" t="s">
        <v>137</v>
      </c>
      <c r="S64" s="1" t="s">
        <v>138</v>
      </c>
      <c r="T64" s="1" t="s">
        <v>139</v>
      </c>
      <c r="U64" s="1" t="s">
        <v>564</v>
      </c>
      <c r="V64" s="1" t="s">
        <v>565</v>
      </c>
      <c r="W64" s="1" t="s">
        <v>566</v>
      </c>
      <c r="X64" s="1" t="s">
        <v>567</v>
      </c>
    </row>
    <row r="65" spans="1:24" x14ac:dyDescent="0.35">
      <c r="A65" s="1" t="s">
        <v>568</v>
      </c>
      <c r="B65" s="1" t="s">
        <v>569</v>
      </c>
      <c r="C65" s="1" t="s">
        <v>570</v>
      </c>
      <c r="D65" s="1" t="s">
        <v>571</v>
      </c>
      <c r="E65" s="1" t="s">
        <v>28</v>
      </c>
      <c r="F65" s="1" t="s">
        <v>29</v>
      </c>
      <c r="G65" s="1" t="s">
        <v>30</v>
      </c>
      <c r="H65" s="1" t="s">
        <v>31</v>
      </c>
      <c r="I65" s="1" t="s">
        <v>46</v>
      </c>
      <c r="J65" s="1" t="s">
        <v>167</v>
      </c>
      <c r="K65">
        <v>380</v>
      </c>
      <c r="L65">
        <v>382</v>
      </c>
      <c r="M65">
        <v>2640422</v>
      </c>
      <c r="N65">
        <v>1245949</v>
      </c>
      <c r="O65">
        <v>47.363146999999998</v>
      </c>
      <c r="P65">
        <v>7.9737330000000002</v>
      </c>
      <c r="Q65" s="1" t="s">
        <v>48</v>
      </c>
      <c r="R65" s="1" t="s">
        <v>49</v>
      </c>
      <c r="S65" s="1" t="s">
        <v>50</v>
      </c>
      <c r="T65" s="1" t="s">
        <v>51</v>
      </c>
      <c r="U65" s="1" t="s">
        <v>572</v>
      </c>
      <c r="V65" s="1" t="s">
        <v>573</v>
      </c>
      <c r="W65" s="1" t="s">
        <v>574</v>
      </c>
      <c r="X65" s="1" t="s">
        <v>575</v>
      </c>
    </row>
    <row r="66" spans="1:24" x14ac:dyDescent="0.35">
      <c r="A66" s="1" t="s">
        <v>576</v>
      </c>
      <c r="B66" s="1" t="s">
        <v>577</v>
      </c>
      <c r="C66" s="1" t="s">
        <v>112</v>
      </c>
      <c r="D66" s="1" t="s">
        <v>578</v>
      </c>
      <c r="E66" s="1" t="s">
        <v>28</v>
      </c>
      <c r="F66" s="1" t="s">
        <v>29</v>
      </c>
      <c r="G66" s="1" t="s">
        <v>30</v>
      </c>
      <c r="H66" s="1" t="s">
        <v>31</v>
      </c>
      <c r="I66" s="1" t="s">
        <v>46</v>
      </c>
      <c r="J66" s="1" t="s">
        <v>579</v>
      </c>
      <c r="K66">
        <v>3129</v>
      </c>
      <c r="L66">
        <v>3131</v>
      </c>
      <c r="M66">
        <v>2626915</v>
      </c>
      <c r="N66">
        <v>1092513</v>
      </c>
      <c r="O66">
        <v>45.983643999999998</v>
      </c>
      <c r="P66">
        <v>7.7859439999999998</v>
      </c>
      <c r="Q66" s="1" t="s">
        <v>115</v>
      </c>
      <c r="R66" s="1" t="s">
        <v>116</v>
      </c>
      <c r="S66" s="1" t="s">
        <v>117</v>
      </c>
      <c r="T66" s="1" t="s">
        <v>118</v>
      </c>
      <c r="U66" s="1" t="s">
        <v>580</v>
      </c>
      <c r="V66" s="1" t="s">
        <v>581</v>
      </c>
      <c r="W66" s="1" t="s">
        <v>582</v>
      </c>
      <c r="X66" s="1" t="s">
        <v>583</v>
      </c>
    </row>
    <row r="67" spans="1:24" x14ac:dyDescent="0.35">
      <c r="A67" s="1" t="s">
        <v>584</v>
      </c>
      <c r="B67" s="1" t="s">
        <v>585</v>
      </c>
      <c r="C67" s="1" t="s">
        <v>67</v>
      </c>
      <c r="D67" s="1" t="s">
        <v>586</v>
      </c>
      <c r="E67" s="1" t="s">
        <v>28</v>
      </c>
      <c r="F67" s="1" t="s">
        <v>29</v>
      </c>
      <c r="G67" s="1" t="s">
        <v>30</v>
      </c>
      <c r="H67" s="1" t="s">
        <v>31</v>
      </c>
      <c r="I67" s="1" t="s">
        <v>46</v>
      </c>
      <c r="J67" s="1" t="s">
        <v>587</v>
      </c>
      <c r="K67">
        <v>950</v>
      </c>
      <c r="L67">
        <v>951</v>
      </c>
      <c r="M67">
        <v>2688477</v>
      </c>
      <c r="N67">
        <v>1171926</v>
      </c>
      <c r="O67">
        <v>46.692678000000001</v>
      </c>
      <c r="P67">
        <v>8.595364</v>
      </c>
      <c r="Q67" s="1" t="s">
        <v>193</v>
      </c>
      <c r="R67" s="1" t="s">
        <v>194</v>
      </c>
      <c r="S67" s="1" t="s">
        <v>195</v>
      </c>
      <c r="T67" s="1" t="s">
        <v>196</v>
      </c>
      <c r="U67" s="1" t="s">
        <v>588</v>
      </c>
      <c r="V67" s="1" t="s">
        <v>589</v>
      </c>
      <c r="W67" s="1" t="s">
        <v>590</v>
      </c>
      <c r="X67" s="1" t="s">
        <v>591</v>
      </c>
    </row>
    <row r="68" spans="1:24" x14ac:dyDescent="0.35">
      <c r="A68" s="1" t="s">
        <v>592</v>
      </c>
      <c r="B68" s="1" t="s">
        <v>593</v>
      </c>
      <c r="C68" s="1" t="s">
        <v>594</v>
      </c>
      <c r="D68" s="1" t="s">
        <v>595</v>
      </c>
      <c r="E68" s="1" t="s">
        <v>28</v>
      </c>
      <c r="F68" s="1" t="s">
        <v>29</v>
      </c>
      <c r="G68" s="1" t="s">
        <v>30</v>
      </c>
      <c r="H68" s="1" t="s">
        <v>31</v>
      </c>
      <c r="I68" s="1" t="s">
        <v>46</v>
      </c>
      <c r="J68" s="1" t="s">
        <v>176</v>
      </c>
      <c r="K68">
        <v>651</v>
      </c>
      <c r="L68">
        <v>651</v>
      </c>
      <c r="M68">
        <v>2575184</v>
      </c>
      <c r="N68">
        <v>1180076</v>
      </c>
      <c r="O68">
        <v>46.7714</v>
      </c>
      <c r="P68">
        <v>7.1137360000000003</v>
      </c>
      <c r="Q68" s="1" t="s">
        <v>136</v>
      </c>
      <c r="R68" s="1" t="s">
        <v>137</v>
      </c>
      <c r="S68" s="1" t="s">
        <v>138</v>
      </c>
      <c r="T68" s="1" t="s">
        <v>139</v>
      </c>
      <c r="U68" s="1" t="s">
        <v>596</v>
      </c>
      <c r="V68" s="1" t="s">
        <v>597</v>
      </c>
      <c r="W68" s="1" t="s">
        <v>598</v>
      </c>
      <c r="X68" s="1" t="s">
        <v>599</v>
      </c>
    </row>
    <row r="69" spans="1:24" x14ac:dyDescent="0.35">
      <c r="A69" s="1" t="s">
        <v>600</v>
      </c>
      <c r="B69" s="1" t="s">
        <v>601</v>
      </c>
      <c r="C69" s="1" t="s">
        <v>112</v>
      </c>
      <c r="D69" s="1" t="s">
        <v>602</v>
      </c>
      <c r="E69" s="1" t="s">
        <v>28</v>
      </c>
      <c r="F69" s="1" t="s">
        <v>29</v>
      </c>
      <c r="G69" s="1" t="s">
        <v>30</v>
      </c>
      <c r="H69" s="1" t="s">
        <v>31</v>
      </c>
      <c r="I69" s="1" t="s">
        <v>46</v>
      </c>
      <c r="J69" s="1" t="s">
        <v>603</v>
      </c>
      <c r="K69">
        <v>1605</v>
      </c>
      <c r="L69">
        <v>1606</v>
      </c>
      <c r="M69">
        <v>2630738</v>
      </c>
      <c r="N69">
        <v>1116062</v>
      </c>
      <c r="O69">
        <v>46.195314000000003</v>
      </c>
      <c r="P69">
        <v>7.8368219999999997</v>
      </c>
      <c r="Q69" s="1" t="s">
        <v>514</v>
      </c>
      <c r="R69" s="1" t="s">
        <v>515</v>
      </c>
      <c r="S69" s="1" t="s">
        <v>516</v>
      </c>
      <c r="T69" s="1" t="s">
        <v>517</v>
      </c>
      <c r="U69" s="1" t="s">
        <v>604</v>
      </c>
      <c r="V69" s="1" t="s">
        <v>605</v>
      </c>
      <c r="W69" s="1" t="s">
        <v>606</v>
      </c>
      <c r="X69" s="1" t="s">
        <v>607</v>
      </c>
    </row>
    <row r="70" spans="1:24" x14ac:dyDescent="0.35">
      <c r="A70" s="1" t="s">
        <v>608</v>
      </c>
      <c r="B70" s="1" t="s">
        <v>609</v>
      </c>
      <c r="C70" s="1" t="s">
        <v>570</v>
      </c>
      <c r="D70" s="1" t="s">
        <v>610</v>
      </c>
      <c r="E70" s="1" t="s">
        <v>28</v>
      </c>
      <c r="F70" s="1" t="s">
        <v>29</v>
      </c>
      <c r="G70" s="1" t="s">
        <v>30</v>
      </c>
      <c r="H70" s="1" t="s">
        <v>31</v>
      </c>
      <c r="I70" s="1" t="s">
        <v>46</v>
      </c>
      <c r="J70" s="1" t="s">
        <v>611</v>
      </c>
      <c r="K70">
        <v>428</v>
      </c>
      <c r="L70">
        <v>429</v>
      </c>
      <c r="M70">
        <v>2598219</v>
      </c>
      <c r="N70">
        <v>1225350</v>
      </c>
      <c r="O70">
        <v>47.179096999999999</v>
      </c>
      <c r="P70">
        <v>7.4151439999999997</v>
      </c>
      <c r="Q70" s="1" t="s">
        <v>48</v>
      </c>
      <c r="R70" s="1" t="s">
        <v>49</v>
      </c>
      <c r="S70" s="1" t="s">
        <v>50</v>
      </c>
      <c r="T70" s="1" t="s">
        <v>51</v>
      </c>
      <c r="U70" s="1" t="s">
        <v>612</v>
      </c>
      <c r="V70" s="1" t="s">
        <v>613</v>
      </c>
      <c r="W70" s="1" t="s">
        <v>614</v>
      </c>
      <c r="X70" s="1" t="s">
        <v>615</v>
      </c>
    </row>
    <row r="71" spans="1:24" x14ac:dyDescent="0.35">
      <c r="A71" s="1" t="s">
        <v>616</v>
      </c>
      <c r="B71" s="1" t="s">
        <v>617</v>
      </c>
      <c r="C71" s="1" t="s">
        <v>26</v>
      </c>
      <c r="D71" s="1" t="s">
        <v>618</v>
      </c>
      <c r="E71" s="1" t="s">
        <v>28</v>
      </c>
      <c r="F71" s="1" t="s">
        <v>29</v>
      </c>
      <c r="G71" s="1" t="s">
        <v>30</v>
      </c>
      <c r="H71" s="1" t="s">
        <v>31</v>
      </c>
      <c r="I71" s="1" t="s">
        <v>32</v>
      </c>
      <c r="J71" s="1" t="s">
        <v>619</v>
      </c>
      <c r="K71">
        <v>1980</v>
      </c>
      <c r="L71">
        <v>1962</v>
      </c>
      <c r="M71">
        <v>2668583</v>
      </c>
      <c r="N71">
        <v>1158215</v>
      </c>
      <c r="O71">
        <v>46.571688999999999</v>
      </c>
      <c r="P71">
        <v>8.3332560000000004</v>
      </c>
      <c r="Q71" s="1" t="s">
        <v>136</v>
      </c>
      <c r="R71" s="1" t="s">
        <v>137</v>
      </c>
      <c r="S71" s="1" t="s">
        <v>138</v>
      </c>
      <c r="T71" s="1" t="s">
        <v>139</v>
      </c>
      <c r="U71" s="1" t="s">
        <v>620</v>
      </c>
      <c r="V71" s="1" t="s">
        <v>621</v>
      </c>
      <c r="W71" s="1" t="s">
        <v>622</v>
      </c>
      <c r="X71" s="1" t="s">
        <v>623</v>
      </c>
    </row>
    <row r="72" spans="1:24" x14ac:dyDescent="0.35">
      <c r="A72" s="1" t="s">
        <v>624</v>
      </c>
      <c r="B72" s="1" t="s">
        <v>625</v>
      </c>
      <c r="C72" s="1" t="s">
        <v>76</v>
      </c>
      <c r="D72" s="1" t="s">
        <v>626</v>
      </c>
      <c r="E72" s="1" t="s">
        <v>28</v>
      </c>
      <c r="F72" s="1" t="s">
        <v>29</v>
      </c>
      <c r="G72" s="1" t="s">
        <v>30</v>
      </c>
      <c r="H72" s="1" t="s">
        <v>31</v>
      </c>
      <c r="I72" s="1" t="s">
        <v>46</v>
      </c>
      <c r="J72" s="1" t="s">
        <v>33</v>
      </c>
      <c r="K72">
        <v>324</v>
      </c>
      <c r="L72">
        <v>324</v>
      </c>
      <c r="M72">
        <v>2733018</v>
      </c>
      <c r="N72">
        <v>1124089</v>
      </c>
      <c r="O72">
        <v>46.255074999999998</v>
      </c>
      <c r="P72">
        <v>9.1637579999999996</v>
      </c>
      <c r="Q72" s="1" t="s">
        <v>193</v>
      </c>
      <c r="R72" s="1" t="s">
        <v>194</v>
      </c>
      <c r="S72" s="1" t="s">
        <v>195</v>
      </c>
      <c r="T72" s="1" t="s">
        <v>196</v>
      </c>
      <c r="U72" s="1" t="s">
        <v>627</v>
      </c>
      <c r="V72" s="1" t="s">
        <v>628</v>
      </c>
      <c r="W72" s="1" t="s">
        <v>629</v>
      </c>
      <c r="X72" s="1" t="s">
        <v>630</v>
      </c>
    </row>
    <row r="73" spans="1:24" x14ac:dyDescent="0.35">
      <c r="A73" s="1" t="s">
        <v>631</v>
      </c>
      <c r="B73" s="1" t="s">
        <v>632</v>
      </c>
      <c r="C73" s="1" t="s">
        <v>112</v>
      </c>
      <c r="D73" s="1" t="s">
        <v>633</v>
      </c>
      <c r="E73" s="1" t="s">
        <v>28</v>
      </c>
      <c r="F73" s="1" t="s">
        <v>29</v>
      </c>
      <c r="G73" s="1" t="s">
        <v>30</v>
      </c>
      <c r="H73" s="1" t="s">
        <v>31</v>
      </c>
      <c r="I73" s="1" t="s">
        <v>46</v>
      </c>
      <c r="J73" s="1" t="s">
        <v>634</v>
      </c>
      <c r="K73">
        <v>2472</v>
      </c>
      <c r="L73">
        <v>2488</v>
      </c>
      <c r="M73">
        <v>2579191</v>
      </c>
      <c r="N73">
        <v>1079754</v>
      </c>
      <c r="O73">
        <v>45.869092000000002</v>
      </c>
      <c r="P73">
        <v>7.1706830000000004</v>
      </c>
      <c r="Q73" s="1" t="s">
        <v>148</v>
      </c>
      <c r="R73" s="1" t="s">
        <v>149</v>
      </c>
      <c r="S73" s="1" t="s">
        <v>150</v>
      </c>
      <c r="T73" s="1" t="s">
        <v>151</v>
      </c>
      <c r="U73" s="1" t="s">
        <v>635</v>
      </c>
      <c r="V73" s="1" t="s">
        <v>636</v>
      </c>
      <c r="W73" s="1" t="s">
        <v>637</v>
      </c>
      <c r="X73" s="1" t="s">
        <v>638</v>
      </c>
    </row>
    <row r="74" spans="1:24" x14ac:dyDescent="0.35">
      <c r="A74" s="1" t="s">
        <v>639</v>
      </c>
      <c r="B74" s="1" t="s">
        <v>640</v>
      </c>
      <c r="C74" s="1" t="s">
        <v>67</v>
      </c>
      <c r="D74" s="1" t="s">
        <v>641</v>
      </c>
      <c r="E74" s="1" t="s">
        <v>28</v>
      </c>
      <c r="F74" s="1" t="s">
        <v>29</v>
      </c>
      <c r="G74" s="1" t="s">
        <v>30</v>
      </c>
      <c r="H74" s="1" t="s">
        <v>31</v>
      </c>
      <c r="I74" s="1" t="s">
        <v>46</v>
      </c>
      <c r="J74" s="1" t="s">
        <v>642</v>
      </c>
      <c r="K74">
        <v>2286</v>
      </c>
      <c r="L74">
        <v>2288</v>
      </c>
      <c r="M74">
        <v>2690087</v>
      </c>
      <c r="N74">
        <v>1167480</v>
      </c>
      <c r="O74">
        <v>46.652475000000003</v>
      </c>
      <c r="P74">
        <v>8.6155310000000007</v>
      </c>
      <c r="Q74" s="1" t="s">
        <v>205</v>
      </c>
      <c r="R74" s="1" t="s">
        <v>206</v>
      </c>
      <c r="S74" s="1" t="s">
        <v>207</v>
      </c>
      <c r="T74" s="1" t="s">
        <v>208</v>
      </c>
      <c r="U74" s="1" t="s">
        <v>643</v>
      </c>
      <c r="V74" s="1" t="s">
        <v>644</v>
      </c>
      <c r="W74" s="1" t="s">
        <v>645</v>
      </c>
      <c r="X74" s="1" t="s">
        <v>646</v>
      </c>
    </row>
    <row r="75" spans="1:24" x14ac:dyDescent="0.35">
      <c r="A75" s="1" t="s">
        <v>647</v>
      </c>
      <c r="B75" s="1" t="s">
        <v>648</v>
      </c>
      <c r="C75" s="1" t="s">
        <v>215</v>
      </c>
      <c r="D75" s="1" t="s">
        <v>649</v>
      </c>
      <c r="E75" s="1" t="s">
        <v>28</v>
      </c>
      <c r="F75" s="1" t="s">
        <v>29</v>
      </c>
      <c r="G75" s="1" t="s">
        <v>30</v>
      </c>
      <c r="H75" s="1" t="s">
        <v>31</v>
      </c>
      <c r="I75" s="1" t="s">
        <v>46</v>
      </c>
      <c r="J75" s="1" t="s">
        <v>167</v>
      </c>
      <c r="K75">
        <v>440</v>
      </c>
      <c r="L75">
        <v>441</v>
      </c>
      <c r="M75">
        <v>2738423</v>
      </c>
      <c r="N75">
        <v>1273962</v>
      </c>
      <c r="O75">
        <v>47.601733000000003</v>
      </c>
      <c r="P75">
        <v>9.2794279999999993</v>
      </c>
      <c r="Q75" s="1" t="s">
        <v>136</v>
      </c>
      <c r="R75" s="1" t="s">
        <v>137</v>
      </c>
      <c r="S75" s="1" t="s">
        <v>138</v>
      </c>
      <c r="T75" s="1" t="s">
        <v>139</v>
      </c>
      <c r="U75" s="1" t="s">
        <v>650</v>
      </c>
      <c r="V75" s="1" t="s">
        <v>651</v>
      </c>
      <c r="W75" s="1" t="s">
        <v>652</v>
      </c>
      <c r="X75" s="1" t="s">
        <v>653</v>
      </c>
    </row>
    <row r="76" spans="1:24" x14ac:dyDescent="0.35">
      <c r="A76" s="1" t="s">
        <v>654</v>
      </c>
      <c r="B76" s="1" t="s">
        <v>655</v>
      </c>
      <c r="C76" s="1" t="s">
        <v>656</v>
      </c>
      <c r="D76" s="1" t="s">
        <v>657</v>
      </c>
      <c r="E76" s="1" t="s">
        <v>28</v>
      </c>
      <c r="F76" s="1" t="s">
        <v>29</v>
      </c>
      <c r="G76" s="1" t="s">
        <v>30</v>
      </c>
      <c r="H76" s="1" t="s">
        <v>31</v>
      </c>
      <c r="I76" s="1" t="s">
        <v>46</v>
      </c>
      <c r="J76" s="1" t="s">
        <v>658</v>
      </c>
      <c r="K76">
        <v>411</v>
      </c>
      <c r="L76">
        <v>412</v>
      </c>
      <c r="M76">
        <v>2498904</v>
      </c>
      <c r="N76">
        <v>1122632</v>
      </c>
      <c r="O76">
        <v>46.247518999999997</v>
      </c>
      <c r="P76">
        <v>6.1277419999999996</v>
      </c>
      <c r="Q76" s="1" t="s">
        <v>48</v>
      </c>
      <c r="R76" s="1" t="s">
        <v>49</v>
      </c>
      <c r="S76" s="1" t="s">
        <v>50</v>
      </c>
      <c r="T76" s="1" t="s">
        <v>51</v>
      </c>
      <c r="U76" s="1" t="s">
        <v>659</v>
      </c>
      <c r="V76" s="1" t="s">
        <v>660</v>
      </c>
      <c r="W76" s="1" t="s">
        <v>661</v>
      </c>
      <c r="X76" s="1" t="s">
        <v>662</v>
      </c>
    </row>
    <row r="77" spans="1:24" x14ac:dyDescent="0.35">
      <c r="A77" s="1" t="s">
        <v>663</v>
      </c>
      <c r="B77" s="1" t="s">
        <v>664</v>
      </c>
      <c r="C77" s="1" t="s">
        <v>215</v>
      </c>
      <c r="D77" s="1" t="s">
        <v>665</v>
      </c>
      <c r="E77" s="1" t="s">
        <v>28</v>
      </c>
      <c r="F77" s="1" t="s">
        <v>29</v>
      </c>
      <c r="G77" s="1" t="s">
        <v>30</v>
      </c>
      <c r="H77" s="1" t="s">
        <v>31</v>
      </c>
      <c r="I77" s="1" t="s">
        <v>46</v>
      </c>
      <c r="J77" s="1" t="s">
        <v>33</v>
      </c>
      <c r="K77">
        <v>719</v>
      </c>
      <c r="L77">
        <v>720</v>
      </c>
      <c r="M77">
        <v>2719100</v>
      </c>
      <c r="N77">
        <v>1279047</v>
      </c>
      <c r="O77">
        <v>47.651242000000003</v>
      </c>
      <c r="P77">
        <v>9.023911</v>
      </c>
      <c r="Q77" s="1" t="s">
        <v>48</v>
      </c>
      <c r="R77" s="1" t="s">
        <v>49</v>
      </c>
      <c r="S77" s="1" t="s">
        <v>50</v>
      </c>
      <c r="T77" s="1" t="s">
        <v>51</v>
      </c>
      <c r="U77" s="1" t="s">
        <v>666</v>
      </c>
      <c r="V77" s="1" t="s">
        <v>667</v>
      </c>
      <c r="W77" s="1" t="s">
        <v>668</v>
      </c>
      <c r="X77" s="1" t="s">
        <v>669</v>
      </c>
    </row>
    <row r="78" spans="1:24" x14ac:dyDescent="0.35">
      <c r="A78" s="1" t="s">
        <v>670</v>
      </c>
      <c r="B78" s="1" t="s">
        <v>671</v>
      </c>
      <c r="C78" s="1" t="s">
        <v>672</v>
      </c>
      <c r="D78" s="1" t="s">
        <v>673</v>
      </c>
      <c r="E78" s="1" t="s">
        <v>28</v>
      </c>
      <c r="F78" s="1" t="s">
        <v>29</v>
      </c>
      <c r="G78" s="1" t="s">
        <v>30</v>
      </c>
      <c r="H78" s="1" t="s">
        <v>31</v>
      </c>
      <c r="I78" s="1" t="s">
        <v>46</v>
      </c>
      <c r="J78" s="1" t="s">
        <v>674</v>
      </c>
      <c r="K78">
        <v>419</v>
      </c>
      <c r="L78">
        <v>420</v>
      </c>
      <c r="M78">
        <v>2677457</v>
      </c>
      <c r="N78">
        <v>1283472</v>
      </c>
      <c r="O78">
        <v>47.697277999999997</v>
      </c>
      <c r="P78">
        <v>8.4704639999999998</v>
      </c>
      <c r="Q78" s="1" t="s">
        <v>48</v>
      </c>
      <c r="R78" s="1" t="s">
        <v>49</v>
      </c>
      <c r="S78" s="1" t="s">
        <v>50</v>
      </c>
      <c r="T78" s="1" t="s">
        <v>51</v>
      </c>
      <c r="U78" s="1" t="s">
        <v>675</v>
      </c>
      <c r="V78" s="1" t="s">
        <v>676</v>
      </c>
      <c r="W78" s="1" t="s">
        <v>677</v>
      </c>
      <c r="X78" s="1" t="s">
        <v>678</v>
      </c>
    </row>
    <row r="79" spans="1:24" x14ac:dyDescent="0.35">
      <c r="A79" s="1" t="s">
        <v>679</v>
      </c>
      <c r="B79" s="1" t="s">
        <v>680</v>
      </c>
      <c r="C79" s="1" t="s">
        <v>681</v>
      </c>
      <c r="D79" s="1" t="s">
        <v>682</v>
      </c>
      <c r="E79" s="1" t="s">
        <v>28</v>
      </c>
      <c r="F79" s="1" t="s">
        <v>29</v>
      </c>
      <c r="G79" s="1" t="s">
        <v>30</v>
      </c>
      <c r="H79" s="1" t="s">
        <v>31</v>
      </c>
      <c r="I79" s="1" t="s">
        <v>46</v>
      </c>
      <c r="J79" s="1" t="s">
        <v>683</v>
      </c>
      <c r="K79">
        <v>1133</v>
      </c>
      <c r="L79">
        <v>1134</v>
      </c>
      <c r="M79">
        <v>2713517</v>
      </c>
      <c r="N79">
        <v>1247756</v>
      </c>
      <c r="O79">
        <v>47.370863999999997</v>
      </c>
      <c r="P79">
        <v>8.9416440000000001</v>
      </c>
      <c r="Q79" s="1" t="s">
        <v>115</v>
      </c>
      <c r="R79" s="1" t="s">
        <v>116</v>
      </c>
      <c r="S79" s="1" t="s">
        <v>117</v>
      </c>
      <c r="T79" s="1" t="s">
        <v>118</v>
      </c>
      <c r="U79" s="1" t="s">
        <v>684</v>
      </c>
      <c r="V79" s="1" t="s">
        <v>685</v>
      </c>
      <c r="W79" s="1" t="s">
        <v>686</v>
      </c>
      <c r="X79" s="1" t="s">
        <v>687</v>
      </c>
    </row>
    <row r="80" spans="1:24" x14ac:dyDescent="0.35">
      <c r="A80" s="1" t="s">
        <v>688</v>
      </c>
      <c r="B80" s="1" t="s">
        <v>689</v>
      </c>
      <c r="C80" s="1" t="s">
        <v>76</v>
      </c>
      <c r="D80" s="1" t="s">
        <v>690</v>
      </c>
      <c r="E80" s="1" t="s">
        <v>28</v>
      </c>
      <c r="F80" s="1" t="s">
        <v>29</v>
      </c>
      <c r="G80" s="1" t="s">
        <v>30</v>
      </c>
      <c r="H80" s="1" t="s">
        <v>31</v>
      </c>
      <c r="I80" s="1" t="s">
        <v>46</v>
      </c>
      <c r="J80" s="1" t="s">
        <v>204</v>
      </c>
      <c r="K80">
        <v>698</v>
      </c>
      <c r="L80">
        <v>699</v>
      </c>
      <c r="M80">
        <v>2735686</v>
      </c>
      <c r="N80">
        <v>1181965</v>
      </c>
      <c r="O80">
        <v>46.775039</v>
      </c>
      <c r="P80">
        <v>9.2153530000000003</v>
      </c>
      <c r="Q80" s="1" t="s">
        <v>48</v>
      </c>
      <c r="R80" s="1" t="s">
        <v>49</v>
      </c>
      <c r="S80" s="1" t="s">
        <v>50</v>
      </c>
      <c r="T80" s="1" t="s">
        <v>51</v>
      </c>
      <c r="U80" s="1" t="s">
        <v>691</v>
      </c>
      <c r="V80" s="1" t="s">
        <v>692</v>
      </c>
      <c r="W80" s="1" t="s">
        <v>693</v>
      </c>
      <c r="X80" s="1" t="s">
        <v>694</v>
      </c>
    </row>
    <row r="81" spans="1:24" x14ac:dyDescent="0.35">
      <c r="A81" s="1" t="s">
        <v>695</v>
      </c>
      <c r="B81" s="1" t="s">
        <v>696</v>
      </c>
      <c r="C81" s="1" t="s">
        <v>26</v>
      </c>
      <c r="D81" s="1" t="s">
        <v>697</v>
      </c>
      <c r="E81" s="1" t="s">
        <v>28</v>
      </c>
      <c r="F81" s="1" t="s">
        <v>29</v>
      </c>
      <c r="G81" s="1" t="s">
        <v>30</v>
      </c>
      <c r="H81" s="1" t="s">
        <v>31</v>
      </c>
      <c r="I81" s="1" t="s">
        <v>46</v>
      </c>
      <c r="J81" s="1" t="s">
        <v>698</v>
      </c>
      <c r="K81">
        <v>578</v>
      </c>
      <c r="L81">
        <v>580</v>
      </c>
      <c r="M81">
        <v>2633043</v>
      </c>
      <c r="N81">
        <v>1169070</v>
      </c>
      <c r="O81">
        <v>46.672032999999999</v>
      </c>
      <c r="P81">
        <v>7.8704499999999999</v>
      </c>
      <c r="Q81" s="1" t="s">
        <v>48</v>
      </c>
      <c r="R81" s="1" t="s">
        <v>49</v>
      </c>
      <c r="S81" s="1" t="s">
        <v>50</v>
      </c>
      <c r="T81" s="1" t="s">
        <v>51</v>
      </c>
      <c r="U81" s="1" t="s">
        <v>699</v>
      </c>
      <c r="V81" s="1" t="s">
        <v>700</v>
      </c>
      <c r="W81" s="1" t="s">
        <v>701</v>
      </c>
      <c r="X81" s="1" t="s">
        <v>702</v>
      </c>
    </row>
    <row r="82" spans="1:24" x14ac:dyDescent="0.35">
      <c r="A82" s="1" t="s">
        <v>703</v>
      </c>
      <c r="B82" s="1" t="s">
        <v>704</v>
      </c>
      <c r="C82" s="1" t="s">
        <v>112</v>
      </c>
      <c r="D82" s="1" t="s">
        <v>705</v>
      </c>
      <c r="E82" s="1" t="s">
        <v>28</v>
      </c>
      <c r="F82" s="1" t="s">
        <v>29</v>
      </c>
      <c r="G82" s="1" t="s">
        <v>30</v>
      </c>
      <c r="H82" s="1" t="s">
        <v>31</v>
      </c>
      <c r="I82" s="1" t="s">
        <v>46</v>
      </c>
      <c r="J82" s="1" t="s">
        <v>706</v>
      </c>
      <c r="K82">
        <v>3571</v>
      </c>
      <c r="L82">
        <v>3576</v>
      </c>
      <c r="M82">
        <v>2641939</v>
      </c>
      <c r="N82">
        <v>1155287</v>
      </c>
      <c r="O82">
        <v>46.547556</v>
      </c>
      <c r="P82">
        <v>7.9854440000000002</v>
      </c>
      <c r="Q82" s="1" t="s">
        <v>148</v>
      </c>
      <c r="R82" s="1" t="s">
        <v>149</v>
      </c>
      <c r="S82" s="1" t="s">
        <v>150</v>
      </c>
      <c r="T82" s="1" t="s">
        <v>151</v>
      </c>
      <c r="U82" s="1" t="s">
        <v>707</v>
      </c>
      <c r="V82" s="1" t="s">
        <v>708</v>
      </c>
      <c r="W82" s="1" t="s">
        <v>709</v>
      </c>
      <c r="X82" s="1" t="s">
        <v>710</v>
      </c>
    </row>
    <row r="83" spans="1:24" x14ac:dyDescent="0.35">
      <c r="A83" s="1" t="s">
        <v>711</v>
      </c>
      <c r="B83" s="1" t="s">
        <v>712</v>
      </c>
      <c r="C83" s="1" t="s">
        <v>681</v>
      </c>
      <c r="D83" s="1" t="s">
        <v>713</v>
      </c>
      <c r="E83" s="1" t="s">
        <v>28</v>
      </c>
      <c r="F83" s="1" t="s">
        <v>29</v>
      </c>
      <c r="G83" s="1" t="s">
        <v>30</v>
      </c>
      <c r="H83" s="1" t="s">
        <v>31</v>
      </c>
      <c r="I83" s="1" t="s">
        <v>46</v>
      </c>
      <c r="J83" s="1" t="s">
        <v>714</v>
      </c>
      <c r="K83">
        <v>426</v>
      </c>
      <c r="L83">
        <v>428</v>
      </c>
      <c r="M83">
        <v>2682711</v>
      </c>
      <c r="N83">
        <v>1259339</v>
      </c>
      <c r="O83">
        <v>47.479610999999998</v>
      </c>
      <c r="P83">
        <v>8.5359610000000004</v>
      </c>
      <c r="Q83" s="1" t="s">
        <v>48</v>
      </c>
      <c r="R83" s="1" t="s">
        <v>49</v>
      </c>
      <c r="S83" s="1" t="s">
        <v>50</v>
      </c>
      <c r="T83" s="1" t="s">
        <v>51</v>
      </c>
      <c r="U83" s="1" t="s">
        <v>715</v>
      </c>
      <c r="V83" s="1" t="s">
        <v>716</v>
      </c>
      <c r="W83" s="1" t="s">
        <v>717</v>
      </c>
      <c r="X83" s="1" t="s">
        <v>718</v>
      </c>
    </row>
    <row r="84" spans="1:24" x14ac:dyDescent="0.35">
      <c r="A84" s="1" t="s">
        <v>719</v>
      </c>
      <c r="B84" s="1" t="s">
        <v>720</v>
      </c>
      <c r="C84" s="1" t="s">
        <v>26</v>
      </c>
      <c r="D84" s="1" t="s">
        <v>721</v>
      </c>
      <c r="E84" s="1" t="s">
        <v>28</v>
      </c>
      <c r="F84" s="1" t="s">
        <v>29</v>
      </c>
      <c r="G84" s="1" t="s">
        <v>30</v>
      </c>
      <c r="H84" s="1" t="s">
        <v>31</v>
      </c>
      <c r="I84" s="1" t="s">
        <v>46</v>
      </c>
      <c r="J84" s="1" t="s">
        <v>722</v>
      </c>
      <c r="K84">
        <v>485</v>
      </c>
      <c r="L84">
        <v>486</v>
      </c>
      <c r="M84">
        <v>2612663</v>
      </c>
      <c r="N84">
        <v>1218665</v>
      </c>
      <c r="O84">
        <v>47.118850000000002</v>
      </c>
      <c r="P84">
        <v>7.6055029999999997</v>
      </c>
      <c r="Q84" s="1" t="s">
        <v>48</v>
      </c>
      <c r="R84" s="1" t="s">
        <v>49</v>
      </c>
      <c r="S84" s="1" t="s">
        <v>50</v>
      </c>
      <c r="T84" s="1" t="s">
        <v>51</v>
      </c>
      <c r="U84" s="1" t="s">
        <v>723</v>
      </c>
      <c r="V84" s="1" t="s">
        <v>724</v>
      </c>
      <c r="W84" s="1" t="s">
        <v>725</v>
      </c>
      <c r="X84" s="1" t="s">
        <v>726</v>
      </c>
    </row>
    <row r="85" spans="1:24" x14ac:dyDescent="0.35">
      <c r="A85" s="1" t="s">
        <v>727</v>
      </c>
      <c r="B85" s="1" t="s">
        <v>728</v>
      </c>
      <c r="C85" s="1" t="s">
        <v>459</v>
      </c>
      <c r="D85" s="1" t="s">
        <v>729</v>
      </c>
      <c r="E85" s="1" t="s">
        <v>28</v>
      </c>
      <c r="F85" s="1" t="s">
        <v>29</v>
      </c>
      <c r="G85" s="1" t="s">
        <v>30</v>
      </c>
      <c r="H85" s="1" t="s">
        <v>31</v>
      </c>
      <c r="I85" s="1" t="s">
        <v>46</v>
      </c>
      <c r="J85" s="1" t="s">
        <v>730</v>
      </c>
      <c r="K85">
        <v>468</v>
      </c>
      <c r="M85">
        <v>2707638</v>
      </c>
      <c r="N85">
        <v>1226334</v>
      </c>
      <c r="O85">
        <v>47.179197000000002</v>
      </c>
      <c r="P85">
        <v>8.8586860000000005</v>
      </c>
      <c r="Q85" s="1" t="s">
        <v>48</v>
      </c>
      <c r="R85" s="1" t="s">
        <v>49</v>
      </c>
      <c r="S85" s="1" t="s">
        <v>50</v>
      </c>
      <c r="T85" s="1" t="s">
        <v>51</v>
      </c>
      <c r="U85" s="1" t="s">
        <v>731</v>
      </c>
      <c r="V85" s="1" t="s">
        <v>732</v>
      </c>
      <c r="W85" s="1" t="s">
        <v>733</v>
      </c>
      <c r="X85" s="1" t="s">
        <v>734</v>
      </c>
    </row>
    <row r="86" spans="1:24" x14ac:dyDescent="0.35">
      <c r="A86" s="1" t="s">
        <v>735</v>
      </c>
      <c r="B86" s="1" t="s">
        <v>736</v>
      </c>
      <c r="C86" s="1" t="s">
        <v>681</v>
      </c>
      <c r="D86" s="1" t="s">
        <v>737</v>
      </c>
      <c r="E86" s="1" t="s">
        <v>28</v>
      </c>
      <c r="F86" s="1" t="s">
        <v>29</v>
      </c>
      <c r="G86" s="1" t="s">
        <v>30</v>
      </c>
      <c r="H86" s="1" t="s">
        <v>31</v>
      </c>
      <c r="I86" s="1" t="s">
        <v>46</v>
      </c>
      <c r="J86" s="1" t="s">
        <v>738</v>
      </c>
      <c r="K86">
        <v>845</v>
      </c>
      <c r="M86">
        <v>2672251</v>
      </c>
      <c r="N86">
        <v>1259460</v>
      </c>
      <c r="O86">
        <v>47.481932999999998</v>
      </c>
      <c r="P86">
        <v>8.3972219999999993</v>
      </c>
      <c r="Q86" s="1" t="s">
        <v>115</v>
      </c>
      <c r="R86" s="1" t="s">
        <v>116</v>
      </c>
      <c r="S86" s="1" t="s">
        <v>117</v>
      </c>
      <c r="T86" s="1" t="s">
        <v>118</v>
      </c>
      <c r="U86" s="1" t="s">
        <v>739</v>
      </c>
      <c r="V86" s="1" t="s">
        <v>740</v>
      </c>
      <c r="W86" s="1" t="s">
        <v>741</v>
      </c>
      <c r="X86" s="1" t="s">
        <v>742</v>
      </c>
    </row>
    <row r="87" spans="1:24" x14ac:dyDescent="0.35">
      <c r="A87" s="1" t="s">
        <v>743</v>
      </c>
      <c r="B87" s="1" t="s">
        <v>744</v>
      </c>
      <c r="C87" s="1" t="s">
        <v>26</v>
      </c>
      <c r="D87" s="1" t="s">
        <v>745</v>
      </c>
      <c r="E87" s="1" t="s">
        <v>28</v>
      </c>
      <c r="F87" s="1" t="s">
        <v>29</v>
      </c>
      <c r="G87" s="1" t="s">
        <v>30</v>
      </c>
      <c r="H87" s="1" t="s">
        <v>31</v>
      </c>
      <c r="I87" s="1" t="s">
        <v>46</v>
      </c>
      <c r="J87" s="1" t="s">
        <v>176</v>
      </c>
      <c r="K87">
        <v>744</v>
      </c>
      <c r="L87">
        <v>745</v>
      </c>
      <c r="M87">
        <v>2628004</v>
      </c>
      <c r="N87">
        <v>1198793</v>
      </c>
      <c r="O87">
        <v>46.939633000000001</v>
      </c>
      <c r="P87">
        <v>7.8064249999999999</v>
      </c>
      <c r="Q87" s="1" t="s">
        <v>48</v>
      </c>
      <c r="R87" s="1" t="s">
        <v>49</v>
      </c>
      <c r="S87" s="1" t="s">
        <v>50</v>
      </c>
      <c r="T87" s="1" t="s">
        <v>51</v>
      </c>
      <c r="U87" s="1" t="s">
        <v>746</v>
      </c>
      <c r="V87" s="1" t="s">
        <v>747</v>
      </c>
      <c r="W87" s="1" t="s">
        <v>748</v>
      </c>
      <c r="X87" s="1" t="s">
        <v>749</v>
      </c>
    </row>
    <row r="88" spans="1:24" x14ac:dyDescent="0.35">
      <c r="A88" s="1" t="s">
        <v>750</v>
      </c>
      <c r="B88" s="1" t="s">
        <v>751</v>
      </c>
      <c r="C88" s="1" t="s">
        <v>76</v>
      </c>
      <c r="D88" s="1" t="s">
        <v>752</v>
      </c>
      <c r="E88" s="1" t="s">
        <v>28</v>
      </c>
      <c r="F88" s="1" t="s">
        <v>29</v>
      </c>
      <c r="G88" s="1" t="s">
        <v>30</v>
      </c>
      <c r="H88" s="1" t="s">
        <v>31</v>
      </c>
      <c r="I88" s="1" t="s">
        <v>46</v>
      </c>
      <c r="J88" s="1" t="s">
        <v>428</v>
      </c>
      <c r="K88">
        <v>1408</v>
      </c>
      <c r="M88">
        <v>2777274</v>
      </c>
      <c r="N88">
        <v>1166618</v>
      </c>
      <c r="O88">
        <v>46.627274999999997</v>
      </c>
      <c r="P88">
        <v>9.7537059999999993</v>
      </c>
      <c r="Q88" s="1" t="s">
        <v>478</v>
      </c>
      <c r="R88" s="1" t="s">
        <v>479</v>
      </c>
      <c r="S88" s="1" t="s">
        <v>480</v>
      </c>
      <c r="T88" s="1" t="s">
        <v>481</v>
      </c>
      <c r="U88" s="1" t="s">
        <v>753</v>
      </c>
      <c r="V88" s="1" t="s">
        <v>754</v>
      </c>
      <c r="W88" s="1" t="s">
        <v>755</v>
      </c>
      <c r="X88" s="1" t="s">
        <v>756</v>
      </c>
    </row>
    <row r="89" spans="1:24" x14ac:dyDescent="0.35">
      <c r="A89" s="1" t="s">
        <v>757</v>
      </c>
      <c r="B89" s="1" t="s">
        <v>758</v>
      </c>
      <c r="C89" s="1" t="s">
        <v>165</v>
      </c>
      <c r="D89" s="1" t="s">
        <v>759</v>
      </c>
      <c r="E89" s="1" t="s">
        <v>28</v>
      </c>
      <c r="F89" s="1" t="s">
        <v>29</v>
      </c>
      <c r="G89" s="1" t="s">
        <v>30</v>
      </c>
      <c r="H89" s="1" t="s">
        <v>31</v>
      </c>
      <c r="I89" s="1" t="s">
        <v>46</v>
      </c>
      <c r="J89" s="1" t="s">
        <v>760</v>
      </c>
      <c r="K89">
        <v>341</v>
      </c>
      <c r="L89">
        <v>343</v>
      </c>
      <c r="M89">
        <v>2656375</v>
      </c>
      <c r="N89">
        <v>1272122</v>
      </c>
      <c r="O89">
        <v>47.597360999999999</v>
      </c>
      <c r="P89">
        <v>8.1882000000000001</v>
      </c>
      <c r="Q89" s="1" t="s">
        <v>48</v>
      </c>
      <c r="R89" s="1" t="s">
        <v>49</v>
      </c>
      <c r="S89" s="1" t="s">
        <v>50</v>
      </c>
      <c r="T89" s="1" t="s">
        <v>51</v>
      </c>
      <c r="U89" s="1" t="s">
        <v>761</v>
      </c>
      <c r="V89" s="1" t="s">
        <v>762</v>
      </c>
      <c r="W89" s="1" t="s">
        <v>763</v>
      </c>
      <c r="X89" s="1" t="s">
        <v>764</v>
      </c>
    </row>
    <row r="90" spans="1:24" x14ac:dyDescent="0.35">
      <c r="A90" s="1" t="s">
        <v>765</v>
      </c>
      <c r="B90" s="1" t="s">
        <v>766</v>
      </c>
      <c r="C90" s="1" t="s">
        <v>174</v>
      </c>
      <c r="D90" s="1" t="s">
        <v>767</v>
      </c>
      <c r="E90" s="1" t="s">
        <v>28</v>
      </c>
      <c r="F90" s="1" t="s">
        <v>29</v>
      </c>
      <c r="G90" s="1" t="s">
        <v>30</v>
      </c>
      <c r="H90" s="1" t="s">
        <v>31</v>
      </c>
      <c r="I90" s="1" t="s">
        <v>46</v>
      </c>
      <c r="J90" s="1" t="s">
        <v>69</v>
      </c>
      <c r="K90">
        <v>273</v>
      </c>
      <c r="L90">
        <v>301</v>
      </c>
      <c r="M90">
        <v>2717874</v>
      </c>
      <c r="N90">
        <v>1095883</v>
      </c>
      <c r="O90">
        <v>46.004216999999997</v>
      </c>
      <c r="P90">
        <v>8.9603219999999997</v>
      </c>
      <c r="Q90" s="1" t="s">
        <v>48</v>
      </c>
      <c r="R90" s="1" t="s">
        <v>49</v>
      </c>
      <c r="S90" s="1" t="s">
        <v>50</v>
      </c>
      <c r="T90" s="1" t="s">
        <v>51</v>
      </c>
      <c r="U90" s="1" t="s">
        <v>768</v>
      </c>
      <c r="V90" s="1" t="s">
        <v>769</v>
      </c>
      <c r="W90" s="1" t="s">
        <v>770</v>
      </c>
      <c r="X90" s="1" t="s">
        <v>771</v>
      </c>
    </row>
    <row r="91" spans="1:24" x14ac:dyDescent="0.35">
      <c r="A91" s="1" t="s">
        <v>772</v>
      </c>
      <c r="B91" s="1" t="s">
        <v>773</v>
      </c>
      <c r="C91" s="1" t="s">
        <v>451</v>
      </c>
      <c r="D91" s="1" t="s">
        <v>774</v>
      </c>
      <c r="E91" s="1" t="s">
        <v>28</v>
      </c>
      <c r="F91" s="1" t="s">
        <v>29</v>
      </c>
      <c r="G91" s="1" t="s">
        <v>30</v>
      </c>
      <c r="H91" s="1" t="s">
        <v>31</v>
      </c>
      <c r="I91" s="1" t="s">
        <v>46</v>
      </c>
      <c r="J91" s="1" t="s">
        <v>69</v>
      </c>
      <c r="K91">
        <v>454</v>
      </c>
      <c r="L91">
        <v>456</v>
      </c>
      <c r="M91">
        <v>2665545</v>
      </c>
      <c r="N91">
        <v>1209850</v>
      </c>
      <c r="O91">
        <v>47.036439000000001</v>
      </c>
      <c r="P91">
        <v>8.3010219999999997</v>
      </c>
      <c r="Q91" s="1" t="s">
        <v>48</v>
      </c>
      <c r="R91" s="1" t="s">
        <v>49</v>
      </c>
      <c r="S91" s="1" t="s">
        <v>50</v>
      </c>
      <c r="T91" s="1" t="s">
        <v>51</v>
      </c>
      <c r="U91" s="1" t="s">
        <v>775</v>
      </c>
      <c r="V91" s="1" t="s">
        <v>776</v>
      </c>
      <c r="W91" s="1" t="s">
        <v>777</v>
      </c>
      <c r="X91" s="1" t="s">
        <v>778</v>
      </c>
    </row>
    <row r="92" spans="1:24" x14ac:dyDescent="0.35">
      <c r="A92" s="1" t="s">
        <v>779</v>
      </c>
      <c r="B92" s="1" t="s">
        <v>780</v>
      </c>
      <c r="C92" s="1" t="s">
        <v>174</v>
      </c>
      <c r="D92" s="1" t="s">
        <v>781</v>
      </c>
      <c r="E92" s="1" t="s">
        <v>28</v>
      </c>
      <c r="F92" s="1" t="s">
        <v>29</v>
      </c>
      <c r="G92" s="1" t="s">
        <v>30</v>
      </c>
      <c r="H92" s="1" t="s">
        <v>31</v>
      </c>
      <c r="I92" s="1" t="s">
        <v>46</v>
      </c>
      <c r="J92" s="1" t="s">
        <v>782</v>
      </c>
      <c r="K92">
        <v>203</v>
      </c>
      <c r="L92">
        <v>205</v>
      </c>
      <c r="M92">
        <v>2715480</v>
      </c>
      <c r="N92">
        <v>1113161</v>
      </c>
      <c r="O92">
        <v>46.160024999999997</v>
      </c>
      <c r="P92">
        <v>8.9336719999999996</v>
      </c>
      <c r="Q92" s="1" t="s">
        <v>48</v>
      </c>
      <c r="R92" s="1" t="s">
        <v>49</v>
      </c>
      <c r="S92" s="1" t="s">
        <v>50</v>
      </c>
      <c r="T92" s="1" t="s">
        <v>51</v>
      </c>
      <c r="U92" s="1" t="s">
        <v>783</v>
      </c>
      <c r="V92" s="1" t="s">
        <v>784</v>
      </c>
      <c r="W92" s="1" t="s">
        <v>785</v>
      </c>
      <c r="X92" s="1" t="s">
        <v>786</v>
      </c>
    </row>
    <row r="93" spans="1:24" x14ac:dyDescent="0.35">
      <c r="A93" s="1" t="s">
        <v>787</v>
      </c>
      <c r="B93" s="1" t="s">
        <v>788</v>
      </c>
      <c r="C93" s="1" t="s">
        <v>58</v>
      </c>
      <c r="D93" s="1" t="s">
        <v>789</v>
      </c>
      <c r="E93" s="1" t="s">
        <v>28</v>
      </c>
      <c r="F93" s="1" t="s">
        <v>29</v>
      </c>
      <c r="G93" s="1" t="s">
        <v>30</v>
      </c>
      <c r="H93" s="1" t="s">
        <v>31</v>
      </c>
      <c r="I93" s="1" t="s">
        <v>46</v>
      </c>
      <c r="J93" s="1" t="s">
        <v>790</v>
      </c>
      <c r="K93">
        <v>435</v>
      </c>
      <c r="L93">
        <v>436</v>
      </c>
      <c r="M93">
        <v>2533458</v>
      </c>
      <c r="N93">
        <v>1176568</v>
      </c>
      <c r="O93">
        <v>46.736978000000001</v>
      </c>
      <c r="P93">
        <v>6.5679829999999999</v>
      </c>
      <c r="Q93" s="1" t="s">
        <v>48</v>
      </c>
      <c r="R93" s="1" t="s">
        <v>49</v>
      </c>
      <c r="S93" s="1" t="s">
        <v>50</v>
      </c>
      <c r="T93" s="1" t="s">
        <v>51</v>
      </c>
      <c r="U93" s="1" t="s">
        <v>791</v>
      </c>
      <c r="V93" s="1" t="s">
        <v>792</v>
      </c>
      <c r="W93" s="1" t="s">
        <v>793</v>
      </c>
      <c r="X93" s="1" t="s">
        <v>794</v>
      </c>
    </row>
    <row r="94" spans="1:24" x14ac:dyDescent="0.35">
      <c r="A94" s="1" t="s">
        <v>795</v>
      </c>
      <c r="B94" s="1" t="s">
        <v>796</v>
      </c>
      <c r="C94" s="1" t="s">
        <v>112</v>
      </c>
      <c r="D94" s="1" t="s">
        <v>797</v>
      </c>
      <c r="E94" s="1" t="s">
        <v>28</v>
      </c>
      <c r="F94" s="1" t="s">
        <v>29</v>
      </c>
      <c r="G94" s="1" t="s">
        <v>30</v>
      </c>
      <c r="H94" s="1" t="s">
        <v>31</v>
      </c>
      <c r="I94" s="1" t="s">
        <v>46</v>
      </c>
      <c r="J94" s="1" t="s">
        <v>60</v>
      </c>
      <c r="K94">
        <v>990</v>
      </c>
      <c r="M94">
        <v>2567374</v>
      </c>
      <c r="N94">
        <v>1107577</v>
      </c>
      <c r="O94">
        <v>46.118903000000003</v>
      </c>
      <c r="P94">
        <v>7.016597</v>
      </c>
      <c r="Q94" s="1" t="s">
        <v>34</v>
      </c>
      <c r="R94" s="1" t="s">
        <v>35</v>
      </c>
      <c r="S94" s="1" t="s">
        <v>36</v>
      </c>
      <c r="T94" s="1" t="s">
        <v>37</v>
      </c>
      <c r="U94" s="1" t="s">
        <v>798</v>
      </c>
      <c r="V94" s="1" t="s">
        <v>799</v>
      </c>
      <c r="W94" s="1" t="s">
        <v>800</v>
      </c>
      <c r="X94" s="1" t="s">
        <v>801</v>
      </c>
    </row>
    <row r="95" spans="1:24" x14ac:dyDescent="0.35">
      <c r="A95" s="1" t="s">
        <v>802</v>
      </c>
      <c r="B95" s="1" t="s">
        <v>803</v>
      </c>
      <c r="C95" s="1" t="s">
        <v>594</v>
      </c>
      <c r="D95" s="1" t="s">
        <v>804</v>
      </c>
      <c r="E95" s="1" t="s">
        <v>28</v>
      </c>
      <c r="F95" s="1" t="s">
        <v>29</v>
      </c>
      <c r="G95" s="1" t="s">
        <v>30</v>
      </c>
      <c r="H95" s="1" t="s">
        <v>31</v>
      </c>
      <c r="I95" s="1" t="s">
        <v>46</v>
      </c>
      <c r="J95" s="1" t="s">
        <v>33</v>
      </c>
      <c r="K95">
        <v>715</v>
      </c>
      <c r="M95">
        <v>2571758</v>
      </c>
      <c r="N95">
        <v>1167317</v>
      </c>
      <c r="O95">
        <v>46.656486000000001</v>
      </c>
      <c r="P95">
        <v>7.0696690000000002</v>
      </c>
      <c r="Q95" s="1" t="s">
        <v>48</v>
      </c>
      <c r="R95" s="1" t="s">
        <v>49</v>
      </c>
      <c r="S95" s="1" t="s">
        <v>50</v>
      </c>
      <c r="T95" s="1" t="s">
        <v>51</v>
      </c>
      <c r="U95" s="1" t="s">
        <v>805</v>
      </c>
      <c r="V95" s="1" t="s">
        <v>806</v>
      </c>
      <c r="W95" s="1" t="s">
        <v>807</v>
      </c>
      <c r="X95" s="1" t="s">
        <v>808</v>
      </c>
    </row>
    <row r="96" spans="1:24" x14ac:dyDescent="0.35">
      <c r="A96" s="1" t="s">
        <v>809</v>
      </c>
      <c r="B96" s="1" t="s">
        <v>810</v>
      </c>
      <c r="C96" s="1" t="s">
        <v>26</v>
      </c>
      <c r="D96" s="1" t="s">
        <v>811</v>
      </c>
      <c r="E96" s="1" t="s">
        <v>28</v>
      </c>
      <c r="F96" s="1" t="s">
        <v>29</v>
      </c>
      <c r="G96" s="1" t="s">
        <v>30</v>
      </c>
      <c r="H96" s="1" t="s">
        <v>31</v>
      </c>
      <c r="I96" s="1" t="s">
        <v>46</v>
      </c>
      <c r="J96" s="1" t="s">
        <v>812</v>
      </c>
      <c r="K96">
        <v>589</v>
      </c>
      <c r="L96">
        <v>589</v>
      </c>
      <c r="M96">
        <v>2655844</v>
      </c>
      <c r="N96">
        <v>1175930</v>
      </c>
      <c r="O96">
        <v>46.732222</v>
      </c>
      <c r="P96">
        <v>8.1692470000000004</v>
      </c>
      <c r="Q96" s="1" t="s">
        <v>48</v>
      </c>
      <c r="R96" s="1" t="s">
        <v>49</v>
      </c>
      <c r="S96" s="1" t="s">
        <v>50</v>
      </c>
      <c r="T96" s="1" t="s">
        <v>51</v>
      </c>
      <c r="U96" s="1" t="s">
        <v>813</v>
      </c>
      <c r="V96" s="1" t="s">
        <v>814</v>
      </c>
      <c r="W96" s="1" t="s">
        <v>815</v>
      </c>
      <c r="X96" s="1" t="s">
        <v>816</v>
      </c>
    </row>
    <row r="97" spans="1:24" x14ac:dyDescent="0.35">
      <c r="A97" s="1" t="s">
        <v>817</v>
      </c>
      <c r="B97" s="1" t="s">
        <v>818</v>
      </c>
      <c r="C97" s="1" t="s">
        <v>594</v>
      </c>
      <c r="D97" s="1" t="s">
        <v>819</v>
      </c>
      <c r="E97" s="1" t="s">
        <v>28</v>
      </c>
      <c r="F97" s="1" t="s">
        <v>29</v>
      </c>
      <c r="G97" s="1" t="s">
        <v>30</v>
      </c>
      <c r="H97" s="1" t="s">
        <v>31</v>
      </c>
      <c r="I97" s="1" t="s">
        <v>46</v>
      </c>
      <c r="J97" s="1" t="s">
        <v>820</v>
      </c>
      <c r="K97">
        <v>1974</v>
      </c>
      <c r="L97">
        <v>1976</v>
      </c>
      <c r="M97">
        <v>2567718</v>
      </c>
      <c r="N97">
        <v>1155077</v>
      </c>
      <c r="O97">
        <v>46.546196999999999</v>
      </c>
      <c r="P97">
        <v>7.0177529999999999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821</v>
      </c>
      <c r="V97" s="1" t="s">
        <v>822</v>
      </c>
      <c r="W97" s="1" t="s">
        <v>823</v>
      </c>
      <c r="X97" s="1" t="s">
        <v>824</v>
      </c>
    </row>
    <row r="98" spans="1:24" x14ac:dyDescent="0.35">
      <c r="A98" s="1" t="s">
        <v>825</v>
      </c>
      <c r="B98" s="1" t="s">
        <v>826</v>
      </c>
      <c r="C98" s="1" t="s">
        <v>451</v>
      </c>
      <c r="D98" s="1" t="s">
        <v>827</v>
      </c>
      <c r="E98" s="1" t="s">
        <v>28</v>
      </c>
      <c r="F98" s="1" t="s">
        <v>29</v>
      </c>
      <c r="G98" s="1" t="s">
        <v>30</v>
      </c>
      <c r="H98" s="1" t="s">
        <v>31</v>
      </c>
      <c r="I98" s="1" t="s">
        <v>46</v>
      </c>
      <c r="J98" s="1" t="s">
        <v>33</v>
      </c>
      <c r="K98">
        <v>453</v>
      </c>
      <c r="L98">
        <v>454</v>
      </c>
      <c r="M98">
        <v>2660129</v>
      </c>
      <c r="N98">
        <v>1232852</v>
      </c>
      <c r="O98">
        <v>47.243847000000002</v>
      </c>
      <c r="P98">
        <v>8.2328309999999991</v>
      </c>
      <c r="Q98" s="1" t="s">
        <v>48</v>
      </c>
      <c r="R98" s="1" t="s">
        <v>49</v>
      </c>
      <c r="S98" s="1" t="s">
        <v>50</v>
      </c>
      <c r="T98" s="1" t="s">
        <v>51</v>
      </c>
      <c r="U98" s="1" t="s">
        <v>828</v>
      </c>
      <c r="V98" s="1" t="s">
        <v>829</v>
      </c>
      <c r="W98" s="1" t="s">
        <v>830</v>
      </c>
      <c r="X98" s="1" t="s">
        <v>831</v>
      </c>
    </row>
    <row r="99" spans="1:24" x14ac:dyDescent="0.35">
      <c r="A99" s="1" t="s">
        <v>832</v>
      </c>
      <c r="B99" s="1" t="s">
        <v>833</v>
      </c>
      <c r="C99" s="1" t="s">
        <v>112</v>
      </c>
      <c r="D99" s="1" t="s">
        <v>834</v>
      </c>
      <c r="E99" s="1" t="s">
        <v>28</v>
      </c>
      <c r="F99" s="1" t="s">
        <v>29</v>
      </c>
      <c r="G99" s="1" t="s">
        <v>30</v>
      </c>
      <c r="H99" s="1" t="s">
        <v>31</v>
      </c>
      <c r="I99" s="1" t="s">
        <v>46</v>
      </c>
      <c r="J99" s="1" t="s">
        <v>835</v>
      </c>
      <c r="K99">
        <v>839</v>
      </c>
      <c r="L99">
        <v>840</v>
      </c>
      <c r="M99">
        <v>2583491</v>
      </c>
      <c r="N99">
        <v>1102189</v>
      </c>
      <c r="O99">
        <v>46.071019</v>
      </c>
      <c r="P99">
        <v>7.2252720000000004</v>
      </c>
      <c r="Q99" s="1" t="s">
        <v>193</v>
      </c>
      <c r="R99" s="1" t="s">
        <v>194</v>
      </c>
      <c r="S99" s="1" t="s">
        <v>195</v>
      </c>
      <c r="T99" s="1" t="s">
        <v>196</v>
      </c>
      <c r="U99" s="1" t="s">
        <v>836</v>
      </c>
      <c r="V99" s="1" t="s">
        <v>837</v>
      </c>
      <c r="W99" s="1" t="s">
        <v>838</v>
      </c>
      <c r="X99" s="1" t="s">
        <v>839</v>
      </c>
    </row>
    <row r="100" spans="1:24" x14ac:dyDescent="0.35">
      <c r="A100" s="1" t="s">
        <v>840</v>
      </c>
      <c r="B100" s="1" t="s">
        <v>841</v>
      </c>
      <c r="C100" s="1" t="s">
        <v>165</v>
      </c>
      <c r="D100" s="1" t="s">
        <v>842</v>
      </c>
      <c r="E100" s="1" t="s">
        <v>28</v>
      </c>
      <c r="F100" s="1" t="s">
        <v>29</v>
      </c>
      <c r="G100" s="1" t="s">
        <v>30</v>
      </c>
      <c r="H100" s="1" t="s">
        <v>31</v>
      </c>
      <c r="I100" s="1" t="s">
        <v>46</v>
      </c>
      <c r="J100" s="1" t="s">
        <v>176</v>
      </c>
      <c r="K100">
        <v>343</v>
      </c>
      <c r="L100">
        <v>344</v>
      </c>
      <c r="M100">
        <v>2633054</v>
      </c>
      <c r="N100">
        <v>1269147</v>
      </c>
      <c r="O100">
        <v>47.572197000000003</v>
      </c>
      <c r="P100">
        <v>7.8779110000000001</v>
      </c>
      <c r="Q100" s="1" t="s">
        <v>48</v>
      </c>
      <c r="R100" s="1" t="s">
        <v>49</v>
      </c>
      <c r="S100" s="1" t="s">
        <v>50</v>
      </c>
      <c r="T100" s="1" t="s">
        <v>51</v>
      </c>
      <c r="U100" s="1" t="s">
        <v>843</v>
      </c>
      <c r="V100" s="1" t="s">
        <v>844</v>
      </c>
      <c r="W100" s="1" t="s">
        <v>845</v>
      </c>
      <c r="X100" s="1" t="s">
        <v>846</v>
      </c>
    </row>
    <row r="101" spans="1:24" x14ac:dyDescent="0.35">
      <c r="A101" s="1" t="s">
        <v>847</v>
      </c>
      <c r="B101" s="1" t="s">
        <v>848</v>
      </c>
      <c r="C101" s="1" t="s">
        <v>112</v>
      </c>
      <c r="D101" s="1" t="s">
        <v>849</v>
      </c>
      <c r="E101" s="1" t="s">
        <v>28</v>
      </c>
      <c r="F101" s="1" t="s">
        <v>29</v>
      </c>
      <c r="G101" s="1" t="s">
        <v>30</v>
      </c>
      <c r="H101" s="1" t="s">
        <v>31</v>
      </c>
      <c r="I101" s="1" t="s">
        <v>46</v>
      </c>
      <c r="J101" s="1" t="s">
        <v>428</v>
      </c>
      <c r="K101">
        <v>1580</v>
      </c>
      <c r="L101">
        <v>1581</v>
      </c>
      <c r="M101">
        <v>2614324</v>
      </c>
      <c r="N101">
        <v>1110730</v>
      </c>
      <c r="O101">
        <v>46.147897</v>
      </c>
      <c r="P101">
        <v>7.6240329999999998</v>
      </c>
      <c r="Q101" s="1" t="s">
        <v>193</v>
      </c>
      <c r="R101" s="1" t="s">
        <v>194</v>
      </c>
      <c r="S101" s="1" t="s">
        <v>195</v>
      </c>
      <c r="T101" s="1" t="s">
        <v>196</v>
      </c>
      <c r="U101" s="1" t="s">
        <v>850</v>
      </c>
      <c r="V101" s="1" t="s">
        <v>851</v>
      </c>
      <c r="W101" s="1" t="s">
        <v>852</v>
      </c>
      <c r="X101" s="1" t="s">
        <v>853</v>
      </c>
    </row>
    <row r="102" spans="1:24" x14ac:dyDescent="0.35">
      <c r="A102" s="1" t="s">
        <v>854</v>
      </c>
      <c r="B102" s="1" t="s">
        <v>855</v>
      </c>
      <c r="C102" s="1" t="s">
        <v>174</v>
      </c>
      <c r="D102" s="1" t="s">
        <v>856</v>
      </c>
      <c r="E102" s="1" t="s">
        <v>28</v>
      </c>
      <c r="F102" s="1" t="s">
        <v>29</v>
      </c>
      <c r="G102" s="1" t="s">
        <v>30</v>
      </c>
      <c r="H102" s="1" t="s">
        <v>31</v>
      </c>
      <c r="I102" s="1" t="s">
        <v>46</v>
      </c>
      <c r="J102" s="1" t="s">
        <v>857</v>
      </c>
      <c r="K102">
        <v>2171</v>
      </c>
      <c r="L102">
        <v>2190</v>
      </c>
      <c r="M102">
        <v>2714264</v>
      </c>
      <c r="N102">
        <v>1140943</v>
      </c>
      <c r="O102">
        <v>46.410102999999999</v>
      </c>
      <c r="P102">
        <v>8.9247420000000002</v>
      </c>
      <c r="Q102" s="1" t="s">
        <v>115</v>
      </c>
      <c r="R102" s="1" t="s">
        <v>116</v>
      </c>
      <c r="S102" s="1" t="s">
        <v>117</v>
      </c>
      <c r="T102" s="1" t="s">
        <v>118</v>
      </c>
      <c r="U102" s="1" t="s">
        <v>858</v>
      </c>
      <c r="V102" s="1" t="s">
        <v>859</v>
      </c>
      <c r="W102" s="1" t="s">
        <v>860</v>
      </c>
      <c r="X102" s="1" t="s">
        <v>861</v>
      </c>
    </row>
    <row r="103" spans="1:24" x14ac:dyDescent="0.35">
      <c r="A103" s="1" t="s">
        <v>862</v>
      </c>
      <c r="B103" s="1" t="s">
        <v>863</v>
      </c>
      <c r="C103" s="1" t="s">
        <v>26</v>
      </c>
      <c r="D103" s="1" t="s">
        <v>864</v>
      </c>
      <c r="E103" s="1" t="s">
        <v>28</v>
      </c>
      <c r="F103" s="1" t="s">
        <v>29</v>
      </c>
      <c r="G103" s="1" t="s">
        <v>30</v>
      </c>
      <c r="H103" s="1" t="s">
        <v>31</v>
      </c>
      <c r="I103" s="1" t="s">
        <v>46</v>
      </c>
      <c r="J103" s="1" t="s">
        <v>865</v>
      </c>
      <c r="K103">
        <v>480</v>
      </c>
      <c r="L103">
        <v>481</v>
      </c>
      <c r="M103">
        <v>2587793</v>
      </c>
      <c r="N103">
        <v>1202480</v>
      </c>
      <c r="O103">
        <v>46.973278000000001</v>
      </c>
      <c r="P103">
        <v>7.2782169999999997</v>
      </c>
      <c r="Q103" s="1" t="s">
        <v>48</v>
      </c>
      <c r="R103" s="1" t="s">
        <v>49</v>
      </c>
      <c r="S103" s="1" t="s">
        <v>50</v>
      </c>
      <c r="T103" s="1" t="s">
        <v>51</v>
      </c>
      <c r="U103" s="1" t="s">
        <v>866</v>
      </c>
      <c r="V103" s="1" t="s">
        <v>867</v>
      </c>
      <c r="W103" s="1" t="s">
        <v>868</v>
      </c>
      <c r="X103" s="1" t="s">
        <v>869</v>
      </c>
    </row>
    <row r="104" spans="1:24" x14ac:dyDescent="0.35">
      <c r="A104" s="1" t="s">
        <v>870</v>
      </c>
      <c r="B104" s="1" t="s">
        <v>871</v>
      </c>
      <c r="C104" s="1" t="s">
        <v>112</v>
      </c>
      <c r="D104" s="1" t="s">
        <v>872</v>
      </c>
      <c r="E104" s="1" t="s">
        <v>28</v>
      </c>
      <c r="F104" s="1" t="s">
        <v>29</v>
      </c>
      <c r="G104" s="1" t="s">
        <v>30</v>
      </c>
      <c r="H104" s="1" t="s">
        <v>31</v>
      </c>
      <c r="I104" s="1" t="s">
        <v>32</v>
      </c>
      <c r="J104" s="1" t="s">
        <v>873</v>
      </c>
      <c r="K104">
        <v>1423</v>
      </c>
      <c r="L104">
        <v>1424</v>
      </c>
      <c r="M104">
        <v>2601709</v>
      </c>
      <c r="N104">
        <v>1127489</v>
      </c>
      <c r="O104">
        <v>46.298805999999999</v>
      </c>
      <c r="P104">
        <v>7.4608140000000001</v>
      </c>
      <c r="Q104" s="1" t="s">
        <v>478</v>
      </c>
      <c r="R104" s="1" t="s">
        <v>479</v>
      </c>
      <c r="S104" s="1" t="s">
        <v>480</v>
      </c>
      <c r="T104" s="1" t="s">
        <v>481</v>
      </c>
      <c r="U104" s="1" t="s">
        <v>874</v>
      </c>
      <c r="V104" s="1" t="s">
        <v>875</v>
      </c>
      <c r="W104" s="1" t="s">
        <v>876</v>
      </c>
      <c r="X104" s="1" t="s">
        <v>877</v>
      </c>
    </row>
    <row r="105" spans="1:24" x14ac:dyDescent="0.35">
      <c r="A105" s="1" t="s">
        <v>878</v>
      </c>
      <c r="B105" s="1" t="s">
        <v>879</v>
      </c>
      <c r="C105" s="1" t="s">
        <v>26</v>
      </c>
      <c r="D105" s="1" t="s">
        <v>880</v>
      </c>
      <c r="E105" s="1" t="s">
        <v>28</v>
      </c>
      <c r="F105" s="1" t="s">
        <v>29</v>
      </c>
      <c r="G105" s="1" t="s">
        <v>30</v>
      </c>
      <c r="H105" s="1" t="s">
        <v>31</v>
      </c>
      <c r="I105" s="1" t="s">
        <v>46</v>
      </c>
      <c r="J105" s="1" t="s">
        <v>525</v>
      </c>
      <c r="K105">
        <v>1404</v>
      </c>
      <c r="L105">
        <v>1405</v>
      </c>
      <c r="M105">
        <v>2638137</v>
      </c>
      <c r="N105">
        <v>1206079</v>
      </c>
      <c r="O105">
        <v>47.004666999999998</v>
      </c>
      <c r="P105">
        <v>7.9401169999999999</v>
      </c>
      <c r="Q105" s="1" t="s">
        <v>115</v>
      </c>
      <c r="R105" s="1" t="s">
        <v>116</v>
      </c>
      <c r="S105" s="1" t="s">
        <v>117</v>
      </c>
      <c r="T105" s="1" t="s">
        <v>118</v>
      </c>
      <c r="U105" s="1" t="s">
        <v>881</v>
      </c>
      <c r="V105" s="1" t="s">
        <v>882</v>
      </c>
      <c r="W105" s="1" t="s">
        <v>883</v>
      </c>
      <c r="X105" s="1" t="s">
        <v>884</v>
      </c>
    </row>
    <row r="106" spans="1:24" x14ac:dyDescent="0.35">
      <c r="A106" s="1" t="s">
        <v>885</v>
      </c>
      <c r="B106" s="1" t="s">
        <v>886</v>
      </c>
      <c r="C106" s="1" t="s">
        <v>76</v>
      </c>
      <c r="D106" s="1" t="s">
        <v>887</v>
      </c>
      <c r="E106" s="1" t="s">
        <v>28</v>
      </c>
      <c r="F106" s="1" t="s">
        <v>29</v>
      </c>
      <c r="G106" s="1" t="s">
        <v>30</v>
      </c>
      <c r="H106" s="1" t="s">
        <v>31</v>
      </c>
      <c r="I106" s="1" t="s">
        <v>46</v>
      </c>
      <c r="J106" s="1" t="s">
        <v>888</v>
      </c>
      <c r="K106">
        <v>2380</v>
      </c>
      <c r="L106">
        <v>2381</v>
      </c>
      <c r="M106">
        <v>2815375</v>
      </c>
      <c r="N106">
        <v>1188987</v>
      </c>
      <c r="O106">
        <v>46.817163999999998</v>
      </c>
      <c r="P106">
        <v>10.2614</v>
      </c>
      <c r="Q106" s="1" t="s">
        <v>34</v>
      </c>
      <c r="R106" s="1" t="s">
        <v>35</v>
      </c>
      <c r="S106" s="1" t="s">
        <v>36</v>
      </c>
      <c r="T106" s="1" t="s">
        <v>37</v>
      </c>
      <c r="U106" s="1" t="s">
        <v>889</v>
      </c>
      <c r="V106" s="1" t="s">
        <v>890</v>
      </c>
      <c r="W106" s="1" t="s">
        <v>891</v>
      </c>
      <c r="X106" s="1" t="s">
        <v>892</v>
      </c>
    </row>
    <row r="107" spans="1:24" x14ac:dyDescent="0.35">
      <c r="A107" s="1" t="s">
        <v>893</v>
      </c>
      <c r="B107" s="1" t="s">
        <v>894</v>
      </c>
      <c r="C107" s="1" t="s">
        <v>245</v>
      </c>
      <c r="D107" s="1" t="s">
        <v>895</v>
      </c>
      <c r="E107" s="1" t="s">
        <v>28</v>
      </c>
      <c r="F107" s="1" t="s">
        <v>29</v>
      </c>
      <c r="G107" s="1" t="s">
        <v>30</v>
      </c>
      <c r="H107" s="1" t="s">
        <v>31</v>
      </c>
      <c r="I107" s="1" t="s">
        <v>46</v>
      </c>
      <c r="J107" s="1" t="s">
        <v>69</v>
      </c>
      <c r="K107">
        <v>485</v>
      </c>
      <c r="L107">
        <v>485</v>
      </c>
      <c r="M107">
        <v>2563087</v>
      </c>
      <c r="N107">
        <v>1205560</v>
      </c>
      <c r="O107">
        <v>47.000067000000001</v>
      </c>
      <c r="P107">
        <v>6.9532970000000001</v>
      </c>
      <c r="Q107" s="1" t="s">
        <v>136</v>
      </c>
      <c r="R107" s="1" t="s">
        <v>137</v>
      </c>
      <c r="S107" s="1" t="s">
        <v>138</v>
      </c>
      <c r="T107" s="1" t="s">
        <v>139</v>
      </c>
      <c r="U107" s="1" t="s">
        <v>896</v>
      </c>
      <c r="V107" s="1" t="s">
        <v>897</v>
      </c>
      <c r="W107" s="1" t="s">
        <v>898</v>
      </c>
      <c r="X107" s="1" t="s">
        <v>899</v>
      </c>
    </row>
    <row r="108" spans="1:24" x14ac:dyDescent="0.35">
      <c r="A108" s="1" t="s">
        <v>900</v>
      </c>
      <c r="B108" s="1" t="s">
        <v>901</v>
      </c>
      <c r="C108" s="1" t="s">
        <v>95</v>
      </c>
      <c r="D108" s="1" t="s">
        <v>902</v>
      </c>
      <c r="E108" s="1" t="s">
        <v>28</v>
      </c>
      <c r="F108" s="1" t="s">
        <v>29</v>
      </c>
      <c r="G108" s="1" t="s">
        <v>30</v>
      </c>
      <c r="H108" s="1" t="s">
        <v>31</v>
      </c>
      <c r="I108" s="1" t="s">
        <v>46</v>
      </c>
      <c r="J108" s="1" t="s">
        <v>903</v>
      </c>
      <c r="K108">
        <v>409</v>
      </c>
      <c r="L108">
        <v>410</v>
      </c>
      <c r="M108">
        <v>2764171</v>
      </c>
      <c r="N108">
        <v>1249582</v>
      </c>
      <c r="O108">
        <v>47.376607999999997</v>
      </c>
      <c r="P108">
        <v>9.6127059999999993</v>
      </c>
      <c r="Q108" s="1" t="s">
        <v>48</v>
      </c>
      <c r="R108" s="1" t="s">
        <v>49</v>
      </c>
      <c r="S108" s="1" t="s">
        <v>50</v>
      </c>
      <c r="T108" s="1" t="s">
        <v>51</v>
      </c>
      <c r="U108" s="1" t="s">
        <v>904</v>
      </c>
      <c r="V108" s="1" t="s">
        <v>905</v>
      </c>
      <c r="W108" s="1" t="s">
        <v>906</v>
      </c>
      <c r="X108" s="1" t="s">
        <v>907</v>
      </c>
    </row>
    <row r="109" spans="1:24" x14ac:dyDescent="0.35">
      <c r="A109" s="1" t="s">
        <v>908</v>
      </c>
      <c r="B109" s="1" t="s">
        <v>909</v>
      </c>
      <c r="C109" s="1" t="s">
        <v>58</v>
      </c>
      <c r="D109" s="1" t="s">
        <v>910</v>
      </c>
      <c r="E109" s="1" t="s">
        <v>28</v>
      </c>
      <c r="F109" s="1" t="s">
        <v>29</v>
      </c>
      <c r="G109" s="1" t="s">
        <v>30</v>
      </c>
      <c r="H109" s="1" t="s">
        <v>31</v>
      </c>
      <c r="I109" s="1" t="s">
        <v>46</v>
      </c>
      <c r="J109" s="1" t="s">
        <v>47</v>
      </c>
      <c r="K109">
        <v>828</v>
      </c>
      <c r="L109">
        <v>829</v>
      </c>
      <c r="M109">
        <v>2555505</v>
      </c>
      <c r="N109">
        <v>1158053</v>
      </c>
      <c r="O109">
        <v>46.572268999999999</v>
      </c>
      <c r="P109">
        <v>6.8582390000000002</v>
      </c>
      <c r="Q109" s="1" t="s">
        <v>136</v>
      </c>
      <c r="R109" s="1" t="s">
        <v>137</v>
      </c>
      <c r="S109" s="1" t="s">
        <v>138</v>
      </c>
      <c r="T109" s="1" t="s">
        <v>139</v>
      </c>
      <c r="U109" s="1" t="s">
        <v>911</v>
      </c>
      <c r="V109" s="1" t="s">
        <v>912</v>
      </c>
      <c r="W109" s="1" t="s">
        <v>913</v>
      </c>
      <c r="X109" s="1" t="s">
        <v>914</v>
      </c>
    </row>
    <row r="110" spans="1:24" x14ac:dyDescent="0.35">
      <c r="A110" s="1" t="s">
        <v>915</v>
      </c>
      <c r="B110" s="1" t="s">
        <v>916</v>
      </c>
      <c r="C110" s="1" t="s">
        <v>174</v>
      </c>
      <c r="D110" s="1" t="s">
        <v>917</v>
      </c>
      <c r="E110" s="1" t="s">
        <v>28</v>
      </c>
      <c r="F110" s="1" t="s">
        <v>29</v>
      </c>
      <c r="G110" s="1" t="s">
        <v>30</v>
      </c>
      <c r="H110" s="1" t="s">
        <v>31</v>
      </c>
      <c r="I110" s="1" t="s">
        <v>46</v>
      </c>
      <c r="J110" s="1" t="s">
        <v>69</v>
      </c>
      <c r="K110">
        <v>367</v>
      </c>
      <c r="L110">
        <v>374</v>
      </c>
      <c r="M110">
        <v>2704167</v>
      </c>
      <c r="N110">
        <v>1114316</v>
      </c>
      <c r="O110">
        <v>46.172255999999997</v>
      </c>
      <c r="P110">
        <v>8.7874940000000006</v>
      </c>
      <c r="Q110" s="1" t="s">
        <v>205</v>
      </c>
      <c r="R110" s="1" t="s">
        <v>206</v>
      </c>
      <c r="S110" s="1" t="s">
        <v>207</v>
      </c>
      <c r="T110" s="1" t="s">
        <v>208</v>
      </c>
      <c r="U110" s="1" t="s">
        <v>918</v>
      </c>
      <c r="V110" s="1" t="s">
        <v>919</v>
      </c>
      <c r="W110" s="1" t="s">
        <v>920</v>
      </c>
      <c r="X110" s="1" t="s">
        <v>921</v>
      </c>
    </row>
    <row r="111" spans="1:24" x14ac:dyDescent="0.35">
      <c r="A111" s="1" t="s">
        <v>922</v>
      </c>
      <c r="B111" s="1" t="s">
        <v>923</v>
      </c>
      <c r="C111" s="1" t="s">
        <v>58</v>
      </c>
      <c r="D111" s="1" t="s">
        <v>924</v>
      </c>
      <c r="E111" s="1" t="s">
        <v>28</v>
      </c>
      <c r="F111" s="1" t="s">
        <v>29</v>
      </c>
      <c r="G111" s="1" t="s">
        <v>30</v>
      </c>
      <c r="H111" s="1" t="s">
        <v>31</v>
      </c>
      <c r="I111" s="1" t="s">
        <v>46</v>
      </c>
      <c r="J111" s="1" t="s">
        <v>925</v>
      </c>
      <c r="K111">
        <v>490</v>
      </c>
      <c r="L111">
        <v>490</v>
      </c>
      <c r="M111">
        <v>2562131</v>
      </c>
      <c r="N111">
        <v>1184612</v>
      </c>
      <c r="O111">
        <v>46.811580999999997</v>
      </c>
      <c r="P111">
        <v>6.942469</v>
      </c>
      <c r="Q111" s="1" t="s">
        <v>136</v>
      </c>
      <c r="R111" s="1" t="s">
        <v>137</v>
      </c>
      <c r="S111" s="1" t="s">
        <v>138</v>
      </c>
      <c r="T111" s="1" t="s">
        <v>139</v>
      </c>
      <c r="U111" s="1" t="s">
        <v>926</v>
      </c>
      <c r="V111" s="1" t="s">
        <v>927</v>
      </c>
      <c r="W111" s="1" t="s">
        <v>928</v>
      </c>
      <c r="X111" s="1" t="s">
        <v>929</v>
      </c>
    </row>
    <row r="112" spans="1:24" x14ac:dyDescent="0.35">
      <c r="A112" s="1" t="s">
        <v>930</v>
      </c>
      <c r="B112" s="1" t="s">
        <v>931</v>
      </c>
      <c r="C112" s="1" t="s">
        <v>681</v>
      </c>
      <c r="D112" s="1" t="s">
        <v>932</v>
      </c>
      <c r="E112" s="1" t="s">
        <v>28</v>
      </c>
      <c r="F112" s="1" t="s">
        <v>29</v>
      </c>
      <c r="G112" s="1" t="s">
        <v>30</v>
      </c>
      <c r="H112" s="1" t="s">
        <v>31</v>
      </c>
      <c r="I112" s="1" t="s">
        <v>46</v>
      </c>
      <c r="J112" s="1" t="s">
        <v>33</v>
      </c>
      <c r="K112">
        <v>537</v>
      </c>
      <c r="L112">
        <v>538</v>
      </c>
      <c r="M112">
        <v>2699401</v>
      </c>
      <c r="N112">
        <v>1248165</v>
      </c>
      <c r="O112">
        <v>47.376817000000003</v>
      </c>
      <c r="P112">
        <v>8.7548639999999995</v>
      </c>
      <c r="Q112" s="1" t="s">
        <v>48</v>
      </c>
      <c r="R112" s="1" t="s">
        <v>49</v>
      </c>
      <c r="S112" s="1" t="s">
        <v>50</v>
      </c>
      <c r="T112" s="1" t="s">
        <v>51</v>
      </c>
      <c r="U112" s="1" t="s">
        <v>933</v>
      </c>
      <c r="V112" s="1" t="s">
        <v>934</v>
      </c>
      <c r="W112" s="1" t="s">
        <v>935</v>
      </c>
      <c r="X112" s="1" t="s">
        <v>936</v>
      </c>
    </row>
    <row r="113" spans="1:24" x14ac:dyDescent="0.35">
      <c r="A113" s="1" t="s">
        <v>937</v>
      </c>
      <c r="B113" s="1" t="s">
        <v>938</v>
      </c>
      <c r="C113" s="1" t="s">
        <v>476</v>
      </c>
      <c r="D113" s="1" t="s">
        <v>939</v>
      </c>
      <c r="E113" s="1" t="s">
        <v>28</v>
      </c>
      <c r="F113" s="1" t="s">
        <v>29</v>
      </c>
      <c r="G113" s="1" t="s">
        <v>30</v>
      </c>
      <c r="H113" s="1" t="s">
        <v>31</v>
      </c>
      <c r="I113" s="1" t="s">
        <v>46</v>
      </c>
      <c r="J113" s="1" t="s">
        <v>305</v>
      </c>
      <c r="K113">
        <v>2105</v>
      </c>
      <c r="L113">
        <v>2109</v>
      </c>
      <c r="M113">
        <v>2661905</v>
      </c>
      <c r="N113">
        <v>1203410</v>
      </c>
      <c r="O113">
        <v>46.978869000000003</v>
      </c>
      <c r="P113">
        <v>8.2522559999999991</v>
      </c>
      <c r="Q113" s="1" t="s">
        <v>115</v>
      </c>
      <c r="R113" s="1" t="s">
        <v>116</v>
      </c>
      <c r="S113" s="1" t="s">
        <v>117</v>
      </c>
      <c r="T113" s="1" t="s">
        <v>118</v>
      </c>
      <c r="U113" s="1" t="s">
        <v>940</v>
      </c>
      <c r="V113" s="1" t="s">
        <v>941</v>
      </c>
      <c r="W113" s="1" t="s">
        <v>942</v>
      </c>
      <c r="X113" s="1" t="s">
        <v>943</v>
      </c>
    </row>
    <row r="114" spans="1:24" x14ac:dyDescent="0.35">
      <c r="A114" s="1" t="s">
        <v>944</v>
      </c>
      <c r="B114" s="1" t="s">
        <v>945</v>
      </c>
      <c r="C114" s="1" t="s">
        <v>174</v>
      </c>
      <c r="D114" s="1" t="s">
        <v>946</v>
      </c>
      <c r="E114" s="1" t="s">
        <v>28</v>
      </c>
      <c r="F114" s="1" t="s">
        <v>29</v>
      </c>
      <c r="G114" s="1" t="s">
        <v>30</v>
      </c>
      <c r="H114" s="1" t="s">
        <v>31</v>
      </c>
      <c r="I114" s="1" t="s">
        <v>46</v>
      </c>
      <c r="J114" s="1" t="s">
        <v>167</v>
      </c>
      <c r="K114">
        <v>990</v>
      </c>
      <c r="L114">
        <v>991</v>
      </c>
      <c r="M114">
        <v>2695881</v>
      </c>
      <c r="N114">
        <v>1152264</v>
      </c>
      <c r="O114">
        <v>46.514811000000002</v>
      </c>
      <c r="P114">
        <v>8.6880389999999998</v>
      </c>
      <c r="Q114" s="1" t="s">
        <v>48</v>
      </c>
      <c r="R114" s="1" t="s">
        <v>49</v>
      </c>
      <c r="S114" s="1" t="s">
        <v>50</v>
      </c>
      <c r="T114" s="1" t="s">
        <v>51</v>
      </c>
      <c r="U114" s="1" t="s">
        <v>947</v>
      </c>
      <c r="V114" s="1" t="s">
        <v>948</v>
      </c>
      <c r="W114" s="1" t="s">
        <v>949</v>
      </c>
      <c r="X114" s="1" t="s">
        <v>950</v>
      </c>
    </row>
    <row r="115" spans="1:24" x14ac:dyDescent="0.35">
      <c r="A115" s="1" t="s">
        <v>951</v>
      </c>
      <c r="B115" s="1" t="s">
        <v>952</v>
      </c>
      <c r="C115" s="1" t="s">
        <v>594</v>
      </c>
      <c r="D115" s="1" t="s">
        <v>953</v>
      </c>
      <c r="E115" s="1" t="s">
        <v>28</v>
      </c>
      <c r="F115" s="1" t="s">
        <v>29</v>
      </c>
      <c r="G115" s="1" t="s">
        <v>30</v>
      </c>
      <c r="H115" s="1" t="s">
        <v>31</v>
      </c>
      <c r="I115" s="1" t="s">
        <v>46</v>
      </c>
      <c r="J115" s="1" t="s">
        <v>283</v>
      </c>
      <c r="K115">
        <v>1042</v>
      </c>
      <c r="L115">
        <v>1044</v>
      </c>
      <c r="M115">
        <v>2586828</v>
      </c>
      <c r="N115">
        <v>1177407</v>
      </c>
      <c r="O115">
        <v>46.747717000000002</v>
      </c>
      <c r="P115">
        <v>7.2662639999999996</v>
      </c>
      <c r="Q115" s="1" t="s">
        <v>136</v>
      </c>
      <c r="R115" s="1" t="s">
        <v>137</v>
      </c>
      <c r="S115" s="1" t="s">
        <v>138</v>
      </c>
      <c r="T115" s="1" t="s">
        <v>139</v>
      </c>
      <c r="U115" s="1" t="s">
        <v>954</v>
      </c>
      <c r="V115" s="1" t="s">
        <v>955</v>
      </c>
      <c r="W115" s="1" t="s">
        <v>956</v>
      </c>
      <c r="X115" s="1" t="s">
        <v>957</v>
      </c>
    </row>
    <row r="116" spans="1:24" x14ac:dyDescent="0.35">
      <c r="A116" s="1" t="s">
        <v>958</v>
      </c>
      <c r="B116" s="1" t="s">
        <v>959</v>
      </c>
      <c r="C116" s="1" t="s">
        <v>76</v>
      </c>
      <c r="D116" s="1" t="s">
        <v>960</v>
      </c>
      <c r="E116" s="1" t="s">
        <v>28</v>
      </c>
      <c r="F116" s="1" t="s">
        <v>29</v>
      </c>
      <c r="G116" s="1" t="s">
        <v>30</v>
      </c>
      <c r="H116" s="1" t="s">
        <v>31</v>
      </c>
      <c r="I116" s="1" t="s">
        <v>46</v>
      </c>
      <c r="J116" s="1" t="s">
        <v>961</v>
      </c>
      <c r="K116">
        <v>2668</v>
      </c>
      <c r="L116">
        <v>2669</v>
      </c>
      <c r="M116">
        <v>2760262</v>
      </c>
      <c r="N116">
        <v>1160570</v>
      </c>
      <c r="O116">
        <v>46.577181000000003</v>
      </c>
      <c r="P116">
        <v>9.5295439999999996</v>
      </c>
      <c r="Q116" s="1" t="s">
        <v>115</v>
      </c>
      <c r="R116" s="1" t="s">
        <v>116</v>
      </c>
      <c r="S116" s="1" t="s">
        <v>117</v>
      </c>
      <c r="T116" s="1" t="s">
        <v>118</v>
      </c>
      <c r="U116" s="1" t="s">
        <v>962</v>
      </c>
      <c r="V116" s="1" t="s">
        <v>963</v>
      </c>
      <c r="W116" s="1" t="s">
        <v>964</v>
      </c>
      <c r="X116" s="1" t="s">
        <v>965</v>
      </c>
    </row>
    <row r="117" spans="1:24" x14ac:dyDescent="0.35">
      <c r="A117" s="1" t="s">
        <v>966</v>
      </c>
      <c r="B117" s="1" t="s">
        <v>967</v>
      </c>
      <c r="C117" s="1" t="s">
        <v>58</v>
      </c>
      <c r="D117" s="1" t="s">
        <v>968</v>
      </c>
      <c r="E117" s="1" t="s">
        <v>28</v>
      </c>
      <c r="F117" s="1" t="s">
        <v>29</v>
      </c>
      <c r="G117" s="1" t="s">
        <v>30</v>
      </c>
      <c r="H117" s="1" t="s">
        <v>31</v>
      </c>
      <c r="I117" s="1" t="s">
        <v>46</v>
      </c>
      <c r="J117" s="1" t="s">
        <v>969</v>
      </c>
      <c r="K117">
        <v>425</v>
      </c>
      <c r="M117">
        <v>2523549</v>
      </c>
      <c r="N117">
        <v>1148526</v>
      </c>
      <c r="O117">
        <v>46.483682999999999</v>
      </c>
      <c r="P117">
        <v>6.4429999999999996</v>
      </c>
      <c r="Q117" s="1" t="s">
        <v>48</v>
      </c>
      <c r="R117" s="1" t="s">
        <v>49</v>
      </c>
      <c r="S117" s="1" t="s">
        <v>50</v>
      </c>
      <c r="T117" s="1" t="s">
        <v>51</v>
      </c>
      <c r="U117" s="1" t="s">
        <v>970</v>
      </c>
      <c r="V117" s="1" t="s">
        <v>971</v>
      </c>
      <c r="W117" s="1" t="s">
        <v>972</v>
      </c>
      <c r="X117" s="1" t="s">
        <v>973</v>
      </c>
    </row>
    <row r="118" spans="1:24" x14ac:dyDescent="0.35">
      <c r="A118" s="1" t="s">
        <v>974</v>
      </c>
      <c r="B118" s="1" t="s">
        <v>975</v>
      </c>
      <c r="C118" s="1" t="s">
        <v>165</v>
      </c>
      <c r="D118" s="1" t="s">
        <v>976</v>
      </c>
      <c r="E118" s="1" t="s">
        <v>28</v>
      </c>
      <c r="F118" s="1" t="s">
        <v>29</v>
      </c>
      <c r="G118" s="1" t="s">
        <v>30</v>
      </c>
      <c r="H118" s="1" t="s">
        <v>31</v>
      </c>
      <c r="I118" s="1" t="s">
        <v>46</v>
      </c>
      <c r="J118" s="1" t="s">
        <v>977</v>
      </c>
      <c r="K118">
        <v>334</v>
      </c>
      <c r="L118">
        <v>336</v>
      </c>
      <c r="M118">
        <v>2659356</v>
      </c>
      <c r="N118">
        <v>1265381</v>
      </c>
      <c r="O118">
        <v>47.536475000000003</v>
      </c>
      <c r="P118">
        <v>8.2269439999999996</v>
      </c>
      <c r="Q118" s="1" t="s">
        <v>48</v>
      </c>
      <c r="R118" s="1" t="s">
        <v>49</v>
      </c>
      <c r="S118" s="1" t="s">
        <v>50</v>
      </c>
      <c r="T118" s="1" t="s">
        <v>51</v>
      </c>
      <c r="U118" s="1" t="s">
        <v>978</v>
      </c>
      <c r="V118" s="1" t="s">
        <v>979</v>
      </c>
      <c r="W118" s="1" t="s">
        <v>980</v>
      </c>
      <c r="X118" s="1" t="s">
        <v>981</v>
      </c>
    </row>
    <row r="119" spans="1:24" x14ac:dyDescent="0.35">
      <c r="A119" s="1" t="s">
        <v>982</v>
      </c>
      <c r="B119" s="1" t="s">
        <v>983</v>
      </c>
      <c r="C119" s="1" t="s">
        <v>58</v>
      </c>
      <c r="D119" s="1" t="s">
        <v>984</v>
      </c>
      <c r="E119" s="1" t="s">
        <v>28</v>
      </c>
      <c r="F119" s="1" t="s">
        <v>29</v>
      </c>
      <c r="G119" s="1" t="s">
        <v>30</v>
      </c>
      <c r="H119" s="1" t="s">
        <v>31</v>
      </c>
      <c r="I119" s="1" t="s">
        <v>46</v>
      </c>
      <c r="J119" s="1" t="s">
        <v>33</v>
      </c>
      <c r="K119">
        <v>456</v>
      </c>
      <c r="L119">
        <v>457</v>
      </c>
      <c r="M119">
        <v>2540819</v>
      </c>
      <c r="N119">
        <v>1151511</v>
      </c>
      <c r="O119">
        <v>46.512282999999996</v>
      </c>
      <c r="P119">
        <v>6.6675170000000001</v>
      </c>
      <c r="Q119" s="1" t="s">
        <v>205</v>
      </c>
      <c r="R119" s="1" t="s">
        <v>206</v>
      </c>
      <c r="S119" s="1" t="s">
        <v>207</v>
      </c>
      <c r="T119" s="1" t="s">
        <v>208</v>
      </c>
      <c r="U119" s="1" t="s">
        <v>985</v>
      </c>
      <c r="V119" s="1" t="s">
        <v>986</v>
      </c>
      <c r="W119" s="1" t="s">
        <v>987</v>
      </c>
      <c r="X119" s="1" t="s">
        <v>988</v>
      </c>
    </row>
    <row r="120" spans="1:24" x14ac:dyDescent="0.35">
      <c r="A120" s="1" t="s">
        <v>989</v>
      </c>
      <c r="B120" s="1" t="s">
        <v>990</v>
      </c>
      <c r="C120" s="1" t="s">
        <v>95</v>
      </c>
      <c r="D120" s="1" t="s">
        <v>991</v>
      </c>
      <c r="E120" s="1" t="s">
        <v>28</v>
      </c>
      <c r="F120" s="1" t="s">
        <v>29</v>
      </c>
      <c r="G120" s="1" t="s">
        <v>30</v>
      </c>
      <c r="H120" s="1" t="s">
        <v>31</v>
      </c>
      <c r="I120" s="1" t="s">
        <v>46</v>
      </c>
      <c r="J120" s="1" t="s">
        <v>992</v>
      </c>
      <c r="K120">
        <v>419</v>
      </c>
      <c r="L120">
        <v>421</v>
      </c>
      <c r="M120">
        <v>2734849</v>
      </c>
      <c r="N120">
        <v>1221278</v>
      </c>
      <c r="O120">
        <v>47.128739000000003</v>
      </c>
      <c r="P120">
        <v>9.2160499999999992</v>
      </c>
      <c r="Q120" s="1" t="s">
        <v>205</v>
      </c>
      <c r="R120" s="1" t="s">
        <v>206</v>
      </c>
      <c r="S120" s="1" t="s">
        <v>207</v>
      </c>
      <c r="T120" s="1" t="s">
        <v>208</v>
      </c>
      <c r="U120" s="1" t="s">
        <v>993</v>
      </c>
      <c r="V120" s="1" t="s">
        <v>994</v>
      </c>
      <c r="W120" s="1" t="s">
        <v>995</v>
      </c>
      <c r="X120" s="1" t="s">
        <v>996</v>
      </c>
    </row>
    <row r="121" spans="1:24" x14ac:dyDescent="0.35">
      <c r="A121" s="1" t="s">
        <v>997</v>
      </c>
      <c r="B121" s="1" t="s">
        <v>998</v>
      </c>
      <c r="C121" s="1" t="s">
        <v>95</v>
      </c>
      <c r="D121" s="1" t="s">
        <v>999</v>
      </c>
      <c r="E121" s="1" t="s">
        <v>28</v>
      </c>
      <c r="F121" s="1" t="s">
        <v>29</v>
      </c>
      <c r="G121" s="1" t="s">
        <v>30</v>
      </c>
      <c r="H121" s="1" t="s">
        <v>31</v>
      </c>
      <c r="I121" s="1" t="s">
        <v>46</v>
      </c>
      <c r="J121" s="1" t="s">
        <v>69</v>
      </c>
      <c r="K121">
        <v>497</v>
      </c>
      <c r="L121">
        <v>497</v>
      </c>
      <c r="M121">
        <v>2756911</v>
      </c>
      <c r="N121">
        <v>1209351</v>
      </c>
      <c r="O121">
        <v>47.016630999999997</v>
      </c>
      <c r="P121">
        <v>9.5025940000000002</v>
      </c>
      <c r="Q121" s="1" t="s">
        <v>48</v>
      </c>
      <c r="R121" s="1" t="s">
        <v>49</v>
      </c>
      <c r="S121" s="1" t="s">
        <v>50</v>
      </c>
      <c r="T121" s="1" t="s">
        <v>51</v>
      </c>
      <c r="U121" s="1" t="s">
        <v>1000</v>
      </c>
      <c r="V121" s="1" t="s">
        <v>1001</v>
      </c>
      <c r="W121" s="1" t="s">
        <v>1002</v>
      </c>
      <c r="X121" s="1" t="s">
        <v>1003</v>
      </c>
    </row>
    <row r="122" spans="1:24" x14ac:dyDescent="0.35">
      <c r="A122" s="1" t="s">
        <v>1004</v>
      </c>
      <c r="B122" s="1" t="s">
        <v>1005</v>
      </c>
      <c r="C122" s="1" t="s">
        <v>681</v>
      </c>
      <c r="D122" s="1" t="s">
        <v>1006</v>
      </c>
      <c r="E122" s="1" t="s">
        <v>28</v>
      </c>
      <c r="F122" s="1" t="s">
        <v>29</v>
      </c>
      <c r="G122" s="1" t="s">
        <v>30</v>
      </c>
      <c r="H122" s="1" t="s">
        <v>31</v>
      </c>
      <c r="I122" s="1" t="s">
        <v>46</v>
      </c>
      <c r="J122" s="1" t="s">
        <v>60</v>
      </c>
      <c r="K122">
        <v>444</v>
      </c>
      <c r="L122">
        <v>445</v>
      </c>
      <c r="M122">
        <v>2681433</v>
      </c>
      <c r="N122">
        <v>1253548</v>
      </c>
      <c r="O122">
        <v>47.427694000000002</v>
      </c>
      <c r="P122">
        <v>8.5179530000000003</v>
      </c>
      <c r="Q122" s="1" t="s">
        <v>48</v>
      </c>
      <c r="R122" s="1" t="s">
        <v>49</v>
      </c>
      <c r="S122" s="1" t="s">
        <v>50</v>
      </c>
      <c r="T122" s="1" t="s">
        <v>51</v>
      </c>
      <c r="U122" s="1" t="s">
        <v>1007</v>
      </c>
      <c r="V122" s="1" t="s">
        <v>1008</v>
      </c>
      <c r="W122" s="1" t="s">
        <v>1009</v>
      </c>
      <c r="X122" s="1" t="s">
        <v>1010</v>
      </c>
    </row>
    <row r="123" spans="1:24" x14ac:dyDescent="0.35">
      <c r="A123" s="1" t="s">
        <v>1011</v>
      </c>
      <c r="B123" s="1" t="s">
        <v>1012</v>
      </c>
      <c r="C123" s="1" t="s">
        <v>76</v>
      </c>
      <c r="D123" s="1" t="s">
        <v>1013</v>
      </c>
      <c r="E123" s="1" t="s">
        <v>28</v>
      </c>
      <c r="F123" s="1" t="s">
        <v>29</v>
      </c>
      <c r="G123" s="1" t="s">
        <v>30</v>
      </c>
      <c r="H123" s="1" t="s">
        <v>31</v>
      </c>
      <c r="I123" s="1" t="s">
        <v>46</v>
      </c>
      <c r="J123" s="1" t="s">
        <v>167</v>
      </c>
      <c r="K123">
        <v>1078</v>
      </c>
      <c r="L123">
        <v>1079</v>
      </c>
      <c r="M123">
        <v>2801994</v>
      </c>
      <c r="N123">
        <v>1136249</v>
      </c>
      <c r="O123">
        <v>46.347217000000001</v>
      </c>
      <c r="P123">
        <v>10.063031000000001</v>
      </c>
      <c r="Q123" s="1" t="s">
        <v>193</v>
      </c>
      <c r="R123" s="1" t="s">
        <v>194</v>
      </c>
      <c r="S123" s="1" t="s">
        <v>195</v>
      </c>
      <c r="T123" s="1" t="s">
        <v>196</v>
      </c>
      <c r="U123" s="1" t="s">
        <v>1014</v>
      </c>
      <c r="V123" s="1" t="s">
        <v>1015</v>
      </c>
      <c r="W123" s="1" t="s">
        <v>1016</v>
      </c>
      <c r="X123" s="1" t="s">
        <v>1017</v>
      </c>
    </row>
    <row r="124" spans="1:24" x14ac:dyDescent="0.35">
      <c r="A124" s="1" t="s">
        <v>1018</v>
      </c>
      <c r="B124" s="1" t="s">
        <v>1019</v>
      </c>
      <c r="C124" s="1" t="s">
        <v>174</v>
      </c>
      <c r="D124" s="1" t="s">
        <v>1020</v>
      </c>
      <c r="E124" s="1" t="s">
        <v>28</v>
      </c>
      <c r="F124" s="1" t="s">
        <v>29</v>
      </c>
      <c r="G124" s="1" t="s">
        <v>30</v>
      </c>
      <c r="H124" s="1" t="s">
        <v>31</v>
      </c>
      <c r="I124" s="1" t="s">
        <v>46</v>
      </c>
      <c r="J124" s="1" t="s">
        <v>1021</v>
      </c>
      <c r="K124">
        <v>1898</v>
      </c>
      <c r="L124">
        <v>1896</v>
      </c>
      <c r="M124">
        <v>2682588</v>
      </c>
      <c r="N124">
        <v>1144091</v>
      </c>
      <c r="O124">
        <v>46.443066999999999</v>
      </c>
      <c r="P124">
        <v>8.5133890000000001</v>
      </c>
      <c r="Q124" s="1" t="s">
        <v>85</v>
      </c>
      <c r="R124" s="1" t="s">
        <v>86</v>
      </c>
      <c r="S124" s="1" t="s">
        <v>87</v>
      </c>
      <c r="T124" s="1" t="s">
        <v>88</v>
      </c>
      <c r="U124" s="1" t="s">
        <v>1022</v>
      </c>
      <c r="V124" s="1" t="s">
        <v>1023</v>
      </c>
      <c r="W124" s="1" t="s">
        <v>1024</v>
      </c>
      <c r="X124" s="1" t="s">
        <v>1025</v>
      </c>
    </row>
    <row r="125" spans="1:24" x14ac:dyDescent="0.35">
      <c r="A125" s="1" t="s">
        <v>1026</v>
      </c>
      <c r="B125" s="1" t="s">
        <v>1027</v>
      </c>
      <c r="C125" s="1" t="s">
        <v>133</v>
      </c>
      <c r="D125" s="1" t="s">
        <v>1028</v>
      </c>
      <c r="E125" s="1" t="s">
        <v>28</v>
      </c>
      <c r="F125" s="1" t="s">
        <v>29</v>
      </c>
      <c r="G125" s="1" t="s">
        <v>30</v>
      </c>
      <c r="H125" s="1" t="s">
        <v>31</v>
      </c>
      <c r="I125" s="1" t="s">
        <v>46</v>
      </c>
      <c r="J125" s="1" t="s">
        <v>1029</v>
      </c>
      <c r="K125">
        <v>611</v>
      </c>
      <c r="L125">
        <v>613</v>
      </c>
      <c r="M125">
        <v>2633253</v>
      </c>
      <c r="N125">
        <v>1253846</v>
      </c>
      <c r="O125">
        <v>47.434572000000003</v>
      </c>
      <c r="P125">
        <v>7.8794139999999997</v>
      </c>
      <c r="Q125" s="1" t="s">
        <v>136</v>
      </c>
      <c r="R125" s="1" t="s">
        <v>137</v>
      </c>
      <c r="S125" s="1" t="s">
        <v>138</v>
      </c>
      <c r="T125" s="1" t="s">
        <v>139</v>
      </c>
      <c r="U125" s="1" t="s">
        <v>1030</v>
      </c>
      <c r="V125" s="1" t="s">
        <v>1031</v>
      </c>
      <c r="W125" s="1" t="s">
        <v>1032</v>
      </c>
      <c r="X125" s="1" t="s">
        <v>1033</v>
      </c>
    </row>
    <row r="126" spans="1:24" x14ac:dyDescent="0.35">
      <c r="A126" s="1" t="s">
        <v>1034</v>
      </c>
      <c r="B126" s="1" t="s">
        <v>1035</v>
      </c>
      <c r="C126" s="1" t="s">
        <v>1036</v>
      </c>
      <c r="D126" s="1" t="s">
        <v>1037</v>
      </c>
      <c r="E126" s="1" t="s">
        <v>28</v>
      </c>
      <c r="F126" s="1" t="s">
        <v>29</v>
      </c>
      <c r="G126" s="1" t="s">
        <v>30</v>
      </c>
      <c r="H126" s="1" t="s">
        <v>31</v>
      </c>
      <c r="I126" s="1" t="s">
        <v>46</v>
      </c>
      <c r="J126" s="1" t="s">
        <v>69</v>
      </c>
      <c r="K126">
        <v>2501</v>
      </c>
      <c r="L126">
        <v>2494</v>
      </c>
      <c r="M126">
        <v>2744188</v>
      </c>
      <c r="N126">
        <v>1234920</v>
      </c>
      <c r="O126">
        <v>47.249447000000004</v>
      </c>
      <c r="P126">
        <v>9.3434690000000007</v>
      </c>
      <c r="Q126" s="1" t="s">
        <v>115</v>
      </c>
      <c r="R126" s="1" t="s">
        <v>116</v>
      </c>
      <c r="S126" s="1" t="s">
        <v>117</v>
      </c>
      <c r="T126" s="1" t="s">
        <v>118</v>
      </c>
      <c r="U126" s="1" t="s">
        <v>1038</v>
      </c>
      <c r="V126" s="1" t="s">
        <v>1039</v>
      </c>
      <c r="W126" s="1" t="s">
        <v>1040</v>
      </c>
      <c r="X126" s="1" t="s">
        <v>1041</v>
      </c>
    </row>
    <row r="127" spans="1:24" x14ac:dyDescent="0.35">
      <c r="A127" s="1" t="s">
        <v>1042</v>
      </c>
      <c r="B127" s="1" t="s">
        <v>1043</v>
      </c>
      <c r="C127" s="1" t="s">
        <v>459</v>
      </c>
      <c r="D127" s="1" t="s">
        <v>1044</v>
      </c>
      <c r="E127" s="1" t="s">
        <v>28</v>
      </c>
      <c r="F127" s="1" t="s">
        <v>29</v>
      </c>
      <c r="G127" s="1" t="s">
        <v>30</v>
      </c>
      <c r="H127" s="1" t="s">
        <v>31</v>
      </c>
      <c r="I127" s="1" t="s">
        <v>46</v>
      </c>
      <c r="J127" s="1" t="s">
        <v>33</v>
      </c>
      <c r="K127">
        <v>790</v>
      </c>
      <c r="L127">
        <v>791</v>
      </c>
      <c r="M127">
        <v>2691000</v>
      </c>
      <c r="N127">
        <v>1215145</v>
      </c>
      <c r="O127">
        <v>47.081063999999998</v>
      </c>
      <c r="P127">
        <v>8.6369670000000003</v>
      </c>
      <c r="Q127" s="1" t="s">
        <v>48</v>
      </c>
      <c r="R127" s="1" t="s">
        <v>49</v>
      </c>
      <c r="S127" s="1" t="s">
        <v>50</v>
      </c>
      <c r="T127" s="1" t="s">
        <v>51</v>
      </c>
      <c r="U127" s="1" t="s">
        <v>1045</v>
      </c>
      <c r="V127" s="1" t="s">
        <v>1046</v>
      </c>
      <c r="W127" s="1" t="s">
        <v>1047</v>
      </c>
      <c r="X127" s="1" t="s">
        <v>1048</v>
      </c>
    </row>
    <row r="128" spans="1:24" x14ac:dyDescent="0.35">
      <c r="A128" s="1" t="s">
        <v>1049</v>
      </c>
      <c r="B128" s="1" t="s">
        <v>1050</v>
      </c>
      <c r="C128" s="1" t="s">
        <v>76</v>
      </c>
      <c r="D128" s="1" t="s">
        <v>1051</v>
      </c>
      <c r="E128" s="1" t="s">
        <v>28</v>
      </c>
      <c r="F128" s="1" t="s">
        <v>29</v>
      </c>
      <c r="G128" s="1" t="s">
        <v>30</v>
      </c>
      <c r="H128" s="1" t="s">
        <v>31</v>
      </c>
      <c r="I128" s="1" t="s">
        <v>46</v>
      </c>
      <c r="J128" s="1" t="s">
        <v>69</v>
      </c>
      <c r="K128">
        <v>1709</v>
      </c>
      <c r="L128">
        <v>1710</v>
      </c>
      <c r="M128">
        <v>2787251</v>
      </c>
      <c r="N128">
        <v>1155685</v>
      </c>
      <c r="O128">
        <v>46.526246999999998</v>
      </c>
      <c r="P128">
        <v>9.8794690000000003</v>
      </c>
      <c r="Q128" s="1" t="s">
        <v>48</v>
      </c>
      <c r="R128" s="1" t="s">
        <v>49</v>
      </c>
      <c r="S128" s="1" t="s">
        <v>50</v>
      </c>
      <c r="T128" s="1" t="s">
        <v>51</v>
      </c>
      <c r="U128" s="1" t="s">
        <v>1052</v>
      </c>
      <c r="V128" s="1" t="s">
        <v>1053</v>
      </c>
      <c r="W128" s="1" t="s">
        <v>1054</v>
      </c>
      <c r="X128" s="1" t="s">
        <v>1055</v>
      </c>
    </row>
    <row r="129" spans="1:24" x14ac:dyDescent="0.35">
      <c r="A129" s="1" t="s">
        <v>1056</v>
      </c>
      <c r="B129" s="1" t="s">
        <v>1057</v>
      </c>
      <c r="C129" s="1" t="s">
        <v>76</v>
      </c>
      <c r="D129" s="1" t="s">
        <v>1058</v>
      </c>
      <c r="E129" s="1" t="s">
        <v>28</v>
      </c>
      <c r="F129" s="1" t="s">
        <v>29</v>
      </c>
      <c r="G129" s="1" t="s">
        <v>30</v>
      </c>
      <c r="H129" s="1" t="s">
        <v>31</v>
      </c>
      <c r="I129" s="1" t="s">
        <v>32</v>
      </c>
      <c r="J129" s="1" t="s">
        <v>69</v>
      </c>
      <c r="K129">
        <v>1639</v>
      </c>
      <c r="L129">
        <v>1640</v>
      </c>
      <c r="M129">
        <v>2734116</v>
      </c>
      <c r="N129">
        <v>1147294</v>
      </c>
      <c r="O129">
        <v>46.463541999999997</v>
      </c>
      <c r="P129">
        <v>9.1846999999999994</v>
      </c>
      <c r="Q129" s="1" t="s">
        <v>193</v>
      </c>
      <c r="R129" s="1" t="s">
        <v>194</v>
      </c>
      <c r="S129" s="1" t="s">
        <v>195</v>
      </c>
      <c r="T129" s="1" t="s">
        <v>196</v>
      </c>
      <c r="U129" s="1" t="s">
        <v>1059</v>
      </c>
      <c r="V129" s="1" t="s">
        <v>1060</v>
      </c>
      <c r="W129" s="1" t="s">
        <v>1061</v>
      </c>
      <c r="X129" s="1" t="s">
        <v>1062</v>
      </c>
    </row>
    <row r="130" spans="1:24" x14ac:dyDescent="0.35">
      <c r="A130" s="1" t="s">
        <v>1063</v>
      </c>
      <c r="B130" s="1" t="s">
        <v>1064</v>
      </c>
      <c r="C130" s="1" t="s">
        <v>174</v>
      </c>
      <c r="D130" s="1" t="s">
        <v>1065</v>
      </c>
      <c r="E130" s="1" t="s">
        <v>28</v>
      </c>
      <c r="F130" s="1" t="s">
        <v>29</v>
      </c>
      <c r="G130" s="1" t="s">
        <v>30</v>
      </c>
      <c r="H130" s="1" t="s">
        <v>31</v>
      </c>
      <c r="I130" s="1" t="s">
        <v>46</v>
      </c>
      <c r="J130" s="1" t="s">
        <v>1066</v>
      </c>
      <c r="K130">
        <v>351</v>
      </c>
      <c r="L130">
        <v>353</v>
      </c>
      <c r="M130">
        <v>2716049</v>
      </c>
      <c r="N130">
        <v>1077972</v>
      </c>
      <c r="O130">
        <v>45.843443999999998</v>
      </c>
      <c r="P130">
        <v>8.9323639999999997</v>
      </c>
      <c r="Q130" s="1" t="s">
        <v>48</v>
      </c>
      <c r="R130" s="1" t="s">
        <v>49</v>
      </c>
      <c r="S130" s="1" t="s">
        <v>50</v>
      </c>
      <c r="T130" s="1" t="s">
        <v>51</v>
      </c>
      <c r="U130" s="1" t="s">
        <v>1067</v>
      </c>
      <c r="V130" s="1" t="s">
        <v>1068</v>
      </c>
      <c r="W130" s="1" t="s">
        <v>1069</v>
      </c>
      <c r="X130" s="1" t="s">
        <v>1070</v>
      </c>
    </row>
    <row r="131" spans="1:24" x14ac:dyDescent="0.35">
      <c r="A131" s="1" t="s">
        <v>1071</v>
      </c>
      <c r="B131" s="1" t="s">
        <v>1072</v>
      </c>
      <c r="C131" s="1" t="s">
        <v>95</v>
      </c>
      <c r="D131" s="1" t="s">
        <v>1073</v>
      </c>
      <c r="E131" s="1" t="s">
        <v>28</v>
      </c>
      <c r="F131" s="1" t="s">
        <v>29</v>
      </c>
      <c r="G131" s="1" t="s">
        <v>30</v>
      </c>
      <c r="H131" s="1" t="s">
        <v>31</v>
      </c>
      <c r="I131" s="1" t="s">
        <v>46</v>
      </c>
      <c r="J131" s="1" t="s">
        <v>1074</v>
      </c>
      <c r="K131">
        <v>408</v>
      </c>
      <c r="L131">
        <v>409</v>
      </c>
      <c r="M131">
        <v>2713726</v>
      </c>
      <c r="N131">
        <v>1231533</v>
      </c>
      <c r="O131">
        <v>47.224933</v>
      </c>
      <c r="P131">
        <v>8.9403000000000006</v>
      </c>
      <c r="Q131" s="1" t="s">
        <v>48</v>
      </c>
      <c r="R131" s="1" t="s">
        <v>49</v>
      </c>
      <c r="S131" s="1" t="s">
        <v>50</v>
      </c>
      <c r="T131" s="1" t="s">
        <v>51</v>
      </c>
      <c r="U131" s="1" t="s">
        <v>1075</v>
      </c>
      <c r="V131" s="1" t="s">
        <v>1076</v>
      </c>
      <c r="W131" s="1" t="s">
        <v>1077</v>
      </c>
      <c r="X131" s="1" t="s">
        <v>1078</v>
      </c>
    </row>
    <row r="132" spans="1:24" x14ac:dyDescent="0.35">
      <c r="A132" s="1" t="s">
        <v>1079</v>
      </c>
      <c r="B132" s="1" t="s">
        <v>1080</v>
      </c>
      <c r="C132" s="1" t="s">
        <v>76</v>
      </c>
      <c r="D132" s="1" t="s">
        <v>1081</v>
      </c>
      <c r="E132" s="1" t="s">
        <v>28</v>
      </c>
      <c r="F132" s="1" t="s">
        <v>29</v>
      </c>
      <c r="G132" s="1" t="s">
        <v>30</v>
      </c>
      <c r="H132" s="1" t="s">
        <v>31</v>
      </c>
      <c r="I132" s="1" t="s">
        <v>46</v>
      </c>
      <c r="J132" s="1" t="s">
        <v>1082</v>
      </c>
      <c r="K132">
        <v>1304</v>
      </c>
      <c r="L132">
        <v>1305</v>
      </c>
      <c r="M132">
        <v>2817139</v>
      </c>
      <c r="N132">
        <v>1186393</v>
      </c>
      <c r="O132">
        <v>46.793275000000001</v>
      </c>
      <c r="P132">
        <v>10.283267</v>
      </c>
      <c r="Q132" s="1" t="s">
        <v>34</v>
      </c>
      <c r="R132" s="1" t="s">
        <v>35</v>
      </c>
      <c r="S132" s="1" t="s">
        <v>36</v>
      </c>
      <c r="T132" s="1" t="s">
        <v>37</v>
      </c>
      <c r="U132" s="1" t="s">
        <v>1083</v>
      </c>
      <c r="V132" s="1" t="s">
        <v>1084</v>
      </c>
      <c r="W132" s="1" t="s">
        <v>1085</v>
      </c>
      <c r="X132" s="1" t="s">
        <v>1086</v>
      </c>
    </row>
    <row r="133" spans="1:24" x14ac:dyDescent="0.35">
      <c r="A133" s="1" t="s">
        <v>1087</v>
      </c>
      <c r="B133" s="1" t="s">
        <v>1088</v>
      </c>
      <c r="C133" s="1" t="s">
        <v>672</v>
      </c>
      <c r="D133" s="1" t="s">
        <v>1089</v>
      </c>
      <c r="E133" s="1" t="s">
        <v>28</v>
      </c>
      <c r="F133" s="1" t="s">
        <v>29</v>
      </c>
      <c r="G133" s="1" t="s">
        <v>30</v>
      </c>
      <c r="H133" s="1" t="s">
        <v>31</v>
      </c>
      <c r="I133" s="1" t="s">
        <v>46</v>
      </c>
      <c r="J133" s="1" t="s">
        <v>1090</v>
      </c>
      <c r="K133">
        <v>438</v>
      </c>
      <c r="L133">
        <v>440</v>
      </c>
      <c r="M133">
        <v>2688704</v>
      </c>
      <c r="N133">
        <v>1282803</v>
      </c>
      <c r="O133">
        <v>47.689841999999999</v>
      </c>
      <c r="P133">
        <v>8.6201419999999995</v>
      </c>
      <c r="Q133" s="1" t="s">
        <v>1091</v>
      </c>
      <c r="R133" s="1" t="s">
        <v>1092</v>
      </c>
      <c r="S133" s="1" t="s">
        <v>1093</v>
      </c>
      <c r="T133" s="1" t="s">
        <v>1094</v>
      </c>
      <c r="U133" s="1" t="s">
        <v>1095</v>
      </c>
      <c r="V133" s="1" t="s">
        <v>1096</v>
      </c>
      <c r="W133" s="1" t="s">
        <v>1097</v>
      </c>
      <c r="X133" s="1" t="s">
        <v>1098</v>
      </c>
    </row>
    <row r="134" spans="1:24" x14ac:dyDescent="0.35">
      <c r="A134" s="1" t="s">
        <v>1099</v>
      </c>
      <c r="B134" s="1" t="s">
        <v>1100</v>
      </c>
      <c r="C134" s="1" t="s">
        <v>76</v>
      </c>
      <c r="D134" s="1" t="s">
        <v>1101</v>
      </c>
      <c r="E134" s="1" t="s">
        <v>28</v>
      </c>
      <c r="F134" s="1" t="s">
        <v>29</v>
      </c>
      <c r="G134" s="1" t="s">
        <v>30</v>
      </c>
      <c r="H134" s="1" t="s">
        <v>31</v>
      </c>
      <c r="I134" s="1" t="s">
        <v>46</v>
      </c>
      <c r="J134" s="1" t="s">
        <v>603</v>
      </c>
      <c r="K134">
        <v>1804</v>
      </c>
      <c r="L134">
        <v>1805</v>
      </c>
      <c r="M134">
        <v>2778576</v>
      </c>
      <c r="N134">
        <v>1144976</v>
      </c>
      <c r="O134">
        <v>46.432330999999998</v>
      </c>
      <c r="P134">
        <v>9.7623250000000006</v>
      </c>
      <c r="Q134" s="1" t="s">
        <v>48</v>
      </c>
      <c r="R134" s="1" t="s">
        <v>49</v>
      </c>
      <c r="S134" s="1" t="s">
        <v>50</v>
      </c>
      <c r="T134" s="1" t="s">
        <v>51</v>
      </c>
      <c r="U134" s="1" t="s">
        <v>1102</v>
      </c>
      <c r="V134" s="1" t="s">
        <v>1103</v>
      </c>
      <c r="W134" s="1" t="s">
        <v>1104</v>
      </c>
      <c r="X134" s="1" t="s">
        <v>1105</v>
      </c>
    </row>
    <row r="135" spans="1:24" x14ac:dyDescent="0.35">
      <c r="A135" s="1" t="s">
        <v>1106</v>
      </c>
      <c r="B135" s="1" t="s">
        <v>1107</v>
      </c>
      <c r="C135" s="1" t="s">
        <v>112</v>
      </c>
      <c r="D135" s="1" t="s">
        <v>1108</v>
      </c>
      <c r="E135" s="1" t="s">
        <v>28</v>
      </c>
      <c r="F135" s="1" t="s">
        <v>29</v>
      </c>
      <c r="G135" s="1" t="s">
        <v>30</v>
      </c>
      <c r="H135" s="1" t="s">
        <v>31</v>
      </c>
      <c r="I135" s="1" t="s">
        <v>46</v>
      </c>
      <c r="J135" s="1" t="s">
        <v>60</v>
      </c>
      <c r="K135">
        <v>1465</v>
      </c>
      <c r="L135">
        <v>1473</v>
      </c>
      <c r="M135">
        <v>2647683</v>
      </c>
      <c r="N135">
        <v>1116340</v>
      </c>
      <c r="O135">
        <v>46.196824999999997</v>
      </c>
      <c r="P135">
        <v>8.0563359999999999</v>
      </c>
      <c r="Q135" s="1" t="s">
        <v>193</v>
      </c>
      <c r="R135" s="1" t="s">
        <v>194</v>
      </c>
      <c r="S135" s="1" t="s">
        <v>195</v>
      </c>
      <c r="T135" s="1" t="s">
        <v>196</v>
      </c>
      <c r="U135" s="1" t="s">
        <v>1109</v>
      </c>
      <c r="V135" s="1" t="s">
        <v>1110</v>
      </c>
      <c r="W135" s="1" t="s">
        <v>1111</v>
      </c>
      <c r="X135" s="1" t="s">
        <v>1112</v>
      </c>
    </row>
    <row r="136" spans="1:24" x14ac:dyDescent="0.35">
      <c r="A136" s="1" t="s">
        <v>1113</v>
      </c>
      <c r="B136" s="1" t="s">
        <v>1114</v>
      </c>
      <c r="C136" s="1" t="s">
        <v>112</v>
      </c>
      <c r="D136" s="1" t="s">
        <v>1115</v>
      </c>
      <c r="E136" s="1" t="s">
        <v>28</v>
      </c>
      <c r="F136" s="1" t="s">
        <v>29</v>
      </c>
      <c r="G136" s="1" t="s">
        <v>30</v>
      </c>
      <c r="H136" s="1" t="s">
        <v>31</v>
      </c>
      <c r="I136" s="1" t="s">
        <v>46</v>
      </c>
      <c r="J136" s="1" t="s">
        <v>69</v>
      </c>
      <c r="K136">
        <v>482</v>
      </c>
      <c r="L136">
        <v>483</v>
      </c>
      <c r="M136">
        <v>2591633</v>
      </c>
      <c r="N136">
        <v>1118584</v>
      </c>
      <c r="O136">
        <v>46.218649999999997</v>
      </c>
      <c r="P136">
        <v>7.330203</v>
      </c>
      <c r="Q136" s="1" t="s">
        <v>48</v>
      </c>
      <c r="R136" s="1" t="s">
        <v>49</v>
      </c>
      <c r="S136" s="1" t="s">
        <v>50</v>
      </c>
      <c r="T136" s="1" t="s">
        <v>51</v>
      </c>
      <c r="U136" s="1" t="s">
        <v>1116</v>
      </c>
      <c r="V136" s="1" t="s">
        <v>1117</v>
      </c>
      <c r="W136" s="1" t="s">
        <v>1118</v>
      </c>
      <c r="X136" s="1" t="s">
        <v>1119</v>
      </c>
    </row>
    <row r="137" spans="1:24" x14ac:dyDescent="0.35">
      <c r="A137" s="1" t="s">
        <v>1120</v>
      </c>
      <c r="B137" s="1" t="s">
        <v>1121</v>
      </c>
      <c r="C137" s="1" t="s">
        <v>681</v>
      </c>
      <c r="D137" s="1" t="s">
        <v>1122</v>
      </c>
      <c r="E137" s="1" t="s">
        <v>28</v>
      </c>
      <c r="F137" s="1" t="s">
        <v>29</v>
      </c>
      <c r="G137" s="1" t="s">
        <v>30</v>
      </c>
      <c r="H137" s="1" t="s">
        <v>31</v>
      </c>
      <c r="I137" s="1" t="s">
        <v>46</v>
      </c>
      <c r="J137" s="1" t="s">
        <v>69</v>
      </c>
      <c r="K137">
        <v>556</v>
      </c>
      <c r="L137">
        <v>557</v>
      </c>
      <c r="M137">
        <v>2685118</v>
      </c>
      <c r="N137">
        <v>1248066</v>
      </c>
      <c r="O137">
        <v>47.377924999999998</v>
      </c>
      <c r="P137">
        <v>8.5657420000000002</v>
      </c>
      <c r="Q137" s="1" t="s">
        <v>205</v>
      </c>
      <c r="R137" s="1" t="s">
        <v>206</v>
      </c>
      <c r="S137" s="1" t="s">
        <v>207</v>
      </c>
      <c r="T137" s="1" t="s">
        <v>208</v>
      </c>
      <c r="U137" s="1" t="s">
        <v>1123</v>
      </c>
      <c r="V137" s="1" t="s">
        <v>1124</v>
      </c>
      <c r="W137" s="1" t="s">
        <v>1125</v>
      </c>
      <c r="X137" s="1" t="s">
        <v>1126</v>
      </c>
    </row>
    <row r="138" spans="1:24" x14ac:dyDescent="0.35">
      <c r="A138" s="1" t="s">
        <v>1127</v>
      </c>
      <c r="B138" s="1" t="s">
        <v>1128</v>
      </c>
      <c r="C138" s="1" t="s">
        <v>76</v>
      </c>
      <c r="D138" s="1" t="s">
        <v>1129</v>
      </c>
      <c r="E138" s="1" t="s">
        <v>28</v>
      </c>
      <c r="F138" s="1" t="s">
        <v>29</v>
      </c>
      <c r="G138" s="1" t="s">
        <v>30</v>
      </c>
      <c r="H138" s="1" t="s">
        <v>31</v>
      </c>
      <c r="I138" s="1" t="s">
        <v>32</v>
      </c>
      <c r="J138" s="1" t="s">
        <v>1130</v>
      </c>
      <c r="K138">
        <v>1386</v>
      </c>
      <c r="L138">
        <v>1387</v>
      </c>
      <c r="M138">
        <v>2828862</v>
      </c>
      <c r="N138">
        <v>1165580</v>
      </c>
      <c r="O138">
        <v>46.602255999999997</v>
      </c>
      <c r="P138">
        <v>10.426314</v>
      </c>
      <c r="Q138" s="1" t="s">
        <v>1131</v>
      </c>
      <c r="R138" s="1" t="s">
        <v>1132</v>
      </c>
      <c r="S138" s="1" t="s">
        <v>1133</v>
      </c>
      <c r="T138" s="1" t="s">
        <v>1134</v>
      </c>
      <c r="U138" s="1" t="s">
        <v>1135</v>
      </c>
      <c r="V138" s="1" t="s">
        <v>1136</v>
      </c>
      <c r="W138" s="1" t="s">
        <v>1137</v>
      </c>
      <c r="X138" s="1" t="s">
        <v>1138</v>
      </c>
    </row>
    <row r="139" spans="1:24" x14ac:dyDescent="0.35">
      <c r="A139" s="1" t="s">
        <v>1139</v>
      </c>
      <c r="B139" s="1" t="s">
        <v>1140</v>
      </c>
      <c r="C139" s="1" t="s">
        <v>451</v>
      </c>
      <c r="D139" s="1" t="s">
        <v>1141</v>
      </c>
      <c r="E139" s="1" t="s">
        <v>28</v>
      </c>
      <c r="F139" s="1" t="s">
        <v>29</v>
      </c>
      <c r="G139" s="1" t="s">
        <v>30</v>
      </c>
      <c r="H139" s="1" t="s">
        <v>31</v>
      </c>
      <c r="I139" s="1" t="s">
        <v>46</v>
      </c>
      <c r="J139" s="1" t="s">
        <v>1142</v>
      </c>
      <c r="K139">
        <v>744</v>
      </c>
      <c r="L139">
        <v>745</v>
      </c>
      <c r="M139">
        <v>2643684</v>
      </c>
      <c r="N139">
        <v>1199711</v>
      </c>
      <c r="O139">
        <v>46.947042000000003</v>
      </c>
      <c r="P139">
        <v>8.0124420000000001</v>
      </c>
      <c r="Q139" s="1" t="s">
        <v>48</v>
      </c>
      <c r="R139" s="1" t="s">
        <v>49</v>
      </c>
      <c r="S139" s="1" t="s">
        <v>50</v>
      </c>
      <c r="T139" s="1" t="s">
        <v>51</v>
      </c>
      <c r="U139" s="1" t="s">
        <v>1143</v>
      </c>
      <c r="V139" s="1" t="s">
        <v>1144</v>
      </c>
      <c r="W139" s="1" t="s">
        <v>1145</v>
      </c>
      <c r="X139" s="1" t="s">
        <v>1146</v>
      </c>
    </row>
    <row r="140" spans="1:24" x14ac:dyDescent="0.35">
      <c r="A140" s="1" t="s">
        <v>1147</v>
      </c>
      <c r="B140" s="1" t="s">
        <v>1148</v>
      </c>
      <c r="C140" s="1" t="s">
        <v>76</v>
      </c>
      <c r="D140" s="1" t="s">
        <v>1149</v>
      </c>
      <c r="E140" s="1" t="s">
        <v>28</v>
      </c>
      <c r="F140" s="1" t="s">
        <v>29</v>
      </c>
      <c r="G140" s="1" t="s">
        <v>30</v>
      </c>
      <c r="H140" s="1" t="s">
        <v>31</v>
      </c>
      <c r="I140" s="1" t="s">
        <v>46</v>
      </c>
      <c r="J140" s="1" t="s">
        <v>1150</v>
      </c>
      <c r="K140">
        <v>626</v>
      </c>
      <c r="M140">
        <v>2769618</v>
      </c>
      <c r="N140">
        <v>1205125</v>
      </c>
      <c r="O140">
        <v>46.975506000000003</v>
      </c>
      <c r="P140">
        <v>9.668075</v>
      </c>
      <c r="Q140" s="1" t="s">
        <v>48</v>
      </c>
      <c r="R140" s="1" t="s">
        <v>49</v>
      </c>
      <c r="S140" s="1" t="s">
        <v>50</v>
      </c>
      <c r="T140" s="1" t="s">
        <v>51</v>
      </c>
      <c r="U140" s="1" t="s">
        <v>1151</v>
      </c>
      <c r="V140" s="1" t="s">
        <v>1152</v>
      </c>
      <c r="W140" s="1" t="s">
        <v>1153</v>
      </c>
      <c r="X140" s="1" t="s">
        <v>1154</v>
      </c>
    </row>
    <row r="141" spans="1:24" x14ac:dyDescent="0.35">
      <c r="A141" s="1" t="s">
        <v>1155</v>
      </c>
      <c r="B141" s="1" t="s">
        <v>1156</v>
      </c>
      <c r="C141" s="1" t="s">
        <v>1157</v>
      </c>
      <c r="D141" s="1" t="s">
        <v>1158</v>
      </c>
      <c r="E141" s="1" t="s">
        <v>28</v>
      </c>
      <c r="F141" s="1" t="s">
        <v>29</v>
      </c>
      <c r="G141" s="1" t="s">
        <v>30</v>
      </c>
      <c r="H141" s="1" t="s">
        <v>31</v>
      </c>
      <c r="I141" s="1" t="s">
        <v>46</v>
      </c>
      <c r="J141" s="1" t="s">
        <v>1159</v>
      </c>
      <c r="K141">
        <v>493</v>
      </c>
      <c r="M141">
        <v>2618696</v>
      </c>
      <c r="N141">
        <v>1269037</v>
      </c>
      <c r="O141">
        <v>47.571767000000001</v>
      </c>
      <c r="P141">
        <v>7.6870940000000001</v>
      </c>
      <c r="Q141" s="1" t="s">
        <v>115</v>
      </c>
      <c r="R141" s="1" t="s">
        <v>116</v>
      </c>
      <c r="S141" s="1" t="s">
        <v>117</v>
      </c>
      <c r="T141" s="1" t="s">
        <v>118</v>
      </c>
      <c r="U141" s="1" t="s">
        <v>1160</v>
      </c>
      <c r="V141" s="1" t="s">
        <v>1161</v>
      </c>
      <c r="W141" s="1" t="s">
        <v>1162</v>
      </c>
      <c r="X141" s="1" t="s">
        <v>1163</v>
      </c>
    </row>
    <row r="142" spans="1:24" x14ac:dyDescent="0.35">
      <c r="A142" s="1" t="s">
        <v>1164</v>
      </c>
      <c r="B142" s="1" t="s">
        <v>1165</v>
      </c>
      <c r="C142" s="1" t="s">
        <v>95</v>
      </c>
      <c r="D142" s="1" t="s">
        <v>1166</v>
      </c>
      <c r="E142" s="1" t="s">
        <v>28</v>
      </c>
      <c r="F142" s="1" t="s">
        <v>29</v>
      </c>
      <c r="G142" s="1" t="s">
        <v>30</v>
      </c>
      <c r="H142" s="1" t="s">
        <v>31</v>
      </c>
      <c r="I142" s="1" t="s">
        <v>46</v>
      </c>
      <c r="J142" s="1" t="s">
        <v>69</v>
      </c>
      <c r="K142">
        <v>776</v>
      </c>
      <c r="L142">
        <v>777</v>
      </c>
      <c r="M142">
        <v>2747866</v>
      </c>
      <c r="N142">
        <v>1254588</v>
      </c>
      <c r="O142">
        <v>47.425474999999999</v>
      </c>
      <c r="P142">
        <v>9.3985280000000007</v>
      </c>
      <c r="Q142" s="1" t="s">
        <v>1131</v>
      </c>
      <c r="R142" s="1" t="s">
        <v>1132</v>
      </c>
      <c r="S142" s="1" t="s">
        <v>1133</v>
      </c>
      <c r="T142" s="1" t="s">
        <v>1134</v>
      </c>
      <c r="U142" s="1" t="s">
        <v>1167</v>
      </c>
      <c r="V142" s="1" t="s">
        <v>1168</v>
      </c>
      <c r="W142" s="1" t="s">
        <v>1169</v>
      </c>
      <c r="X142" s="1" t="s">
        <v>1170</v>
      </c>
    </row>
    <row r="143" spans="1:24" x14ac:dyDescent="0.35">
      <c r="A143" s="1" t="s">
        <v>1171</v>
      </c>
      <c r="B143" s="1" t="s">
        <v>1172</v>
      </c>
      <c r="C143" s="1" t="s">
        <v>215</v>
      </c>
      <c r="D143" s="1" t="s">
        <v>1173</v>
      </c>
      <c r="E143" s="1" t="s">
        <v>28</v>
      </c>
      <c r="F143" s="1" t="s">
        <v>29</v>
      </c>
      <c r="G143" s="1" t="s">
        <v>30</v>
      </c>
      <c r="H143" s="1" t="s">
        <v>31</v>
      </c>
      <c r="I143" s="1" t="s">
        <v>46</v>
      </c>
      <c r="J143" s="1" t="s">
        <v>47</v>
      </c>
      <c r="K143">
        <v>397</v>
      </c>
      <c r="L143">
        <v>398</v>
      </c>
      <c r="M143">
        <v>2715872</v>
      </c>
      <c r="N143">
        <v>1280916</v>
      </c>
      <c r="O143">
        <v>47.668627999999998</v>
      </c>
      <c r="P143">
        <v>8.9814329999999991</v>
      </c>
      <c r="Q143" s="1" t="s">
        <v>48</v>
      </c>
      <c r="R143" s="1" t="s">
        <v>49</v>
      </c>
      <c r="S143" s="1" t="s">
        <v>50</v>
      </c>
      <c r="T143" s="1" t="s">
        <v>51</v>
      </c>
      <c r="U143" s="1" t="s">
        <v>1174</v>
      </c>
      <c r="V143" s="1" t="s">
        <v>1175</v>
      </c>
      <c r="W143" s="1" t="s">
        <v>1176</v>
      </c>
      <c r="X143" s="1" t="s">
        <v>1177</v>
      </c>
    </row>
    <row r="144" spans="1:24" x14ac:dyDescent="0.35">
      <c r="A144" s="1" t="s">
        <v>1178</v>
      </c>
      <c r="B144" s="1" t="s">
        <v>1179</v>
      </c>
      <c r="C144" s="1" t="s">
        <v>215</v>
      </c>
      <c r="D144" s="1" t="s">
        <v>1180</v>
      </c>
      <c r="E144" s="1" t="s">
        <v>28</v>
      </c>
      <c r="F144" s="1" t="s">
        <v>29</v>
      </c>
      <c r="G144" s="1" t="s">
        <v>30</v>
      </c>
      <c r="H144" s="1" t="s">
        <v>31</v>
      </c>
      <c r="I144" s="1" t="s">
        <v>46</v>
      </c>
      <c r="J144" s="1" t="s">
        <v>1181</v>
      </c>
      <c r="K144">
        <v>539</v>
      </c>
      <c r="L144">
        <v>539</v>
      </c>
      <c r="M144">
        <v>2710518</v>
      </c>
      <c r="N144">
        <v>1259824</v>
      </c>
      <c r="O144">
        <v>47.479892</v>
      </c>
      <c r="P144">
        <v>8.904928</v>
      </c>
      <c r="Q144" s="1" t="s">
        <v>48</v>
      </c>
      <c r="R144" s="1" t="s">
        <v>49</v>
      </c>
      <c r="S144" s="1" t="s">
        <v>50</v>
      </c>
      <c r="T144" s="1" t="s">
        <v>51</v>
      </c>
      <c r="U144" s="1" t="s">
        <v>1182</v>
      </c>
      <c r="V144" s="1" t="s">
        <v>1183</v>
      </c>
      <c r="W144" s="1" t="s">
        <v>1184</v>
      </c>
      <c r="X144" s="1" t="s">
        <v>1185</v>
      </c>
    </row>
    <row r="145" spans="1:24" x14ac:dyDescent="0.35">
      <c r="A145" s="1" t="s">
        <v>1186</v>
      </c>
      <c r="B145" s="1" t="s">
        <v>1187</v>
      </c>
      <c r="C145" s="1" t="s">
        <v>26</v>
      </c>
      <c r="D145" s="1" t="s">
        <v>1188</v>
      </c>
      <c r="E145" s="1" t="s">
        <v>28</v>
      </c>
      <c r="F145" s="1" t="s">
        <v>29</v>
      </c>
      <c r="G145" s="1" t="s">
        <v>30</v>
      </c>
      <c r="H145" s="1" t="s">
        <v>31</v>
      </c>
      <c r="I145" s="1" t="s">
        <v>46</v>
      </c>
      <c r="J145" s="1" t="s">
        <v>1189</v>
      </c>
      <c r="K145">
        <v>570</v>
      </c>
      <c r="L145">
        <v>571</v>
      </c>
      <c r="M145">
        <v>2611201</v>
      </c>
      <c r="N145">
        <v>1177640</v>
      </c>
      <c r="O145">
        <v>46.749853000000002</v>
      </c>
      <c r="P145">
        <v>7.5852219999999999</v>
      </c>
      <c r="Q145" s="1" t="s">
        <v>48</v>
      </c>
      <c r="R145" s="1" t="s">
        <v>49</v>
      </c>
      <c r="S145" s="1" t="s">
        <v>50</v>
      </c>
      <c r="T145" s="1" t="s">
        <v>51</v>
      </c>
      <c r="U145" s="1" t="s">
        <v>1190</v>
      </c>
      <c r="V145" s="1" t="s">
        <v>1191</v>
      </c>
      <c r="W145" s="1" t="s">
        <v>1192</v>
      </c>
      <c r="X145" s="1" t="s">
        <v>1193</v>
      </c>
    </row>
    <row r="146" spans="1:24" x14ac:dyDescent="0.35">
      <c r="A146" s="1" t="s">
        <v>1194</v>
      </c>
      <c r="B146" s="1" t="s">
        <v>1195</v>
      </c>
      <c r="C146" s="1" t="s">
        <v>476</v>
      </c>
      <c r="D146" s="1" t="s">
        <v>1196</v>
      </c>
      <c r="E146" s="1" t="s">
        <v>28</v>
      </c>
      <c r="F146" s="1" t="s">
        <v>29</v>
      </c>
      <c r="G146" s="1" t="s">
        <v>30</v>
      </c>
      <c r="H146" s="1" t="s">
        <v>31</v>
      </c>
      <c r="I146" s="1" t="s">
        <v>46</v>
      </c>
      <c r="J146" s="1" t="s">
        <v>1197</v>
      </c>
      <c r="K146">
        <v>3045</v>
      </c>
      <c r="L146">
        <v>3096</v>
      </c>
      <c r="M146">
        <v>2675413</v>
      </c>
      <c r="N146">
        <v>1180411</v>
      </c>
      <c r="O146">
        <v>46.770608000000003</v>
      </c>
      <c r="P146">
        <v>8.4259810000000002</v>
      </c>
      <c r="Q146" s="1" t="s">
        <v>115</v>
      </c>
      <c r="R146" s="1" t="s">
        <v>116</v>
      </c>
      <c r="S146" s="1" t="s">
        <v>117</v>
      </c>
      <c r="T146" s="1" t="s">
        <v>118</v>
      </c>
      <c r="U146" s="1" t="s">
        <v>1198</v>
      </c>
      <c r="V146" s="1" t="s">
        <v>1199</v>
      </c>
      <c r="W146" s="1" t="s">
        <v>1200</v>
      </c>
      <c r="X146" s="1" t="s">
        <v>1201</v>
      </c>
    </row>
    <row r="147" spans="1:24" x14ac:dyDescent="0.35">
      <c r="A147" s="1" t="s">
        <v>1202</v>
      </c>
      <c r="B147" s="1" t="s">
        <v>1203</v>
      </c>
      <c r="C147" s="1" t="s">
        <v>681</v>
      </c>
      <c r="D147" s="1" t="s">
        <v>1204</v>
      </c>
      <c r="E147" s="1" t="s">
        <v>28</v>
      </c>
      <c r="F147" s="1" t="s">
        <v>29</v>
      </c>
      <c r="G147" s="1" t="s">
        <v>30</v>
      </c>
      <c r="H147" s="1" t="s">
        <v>31</v>
      </c>
      <c r="I147" s="1" t="s">
        <v>46</v>
      </c>
      <c r="J147" s="1" t="s">
        <v>1205</v>
      </c>
      <c r="K147">
        <v>854</v>
      </c>
      <c r="M147">
        <v>2679455</v>
      </c>
      <c r="N147">
        <v>1245034</v>
      </c>
      <c r="O147">
        <v>47.351363999999997</v>
      </c>
      <c r="P147">
        <v>8.4902250000000006</v>
      </c>
      <c r="Q147" s="1" t="s">
        <v>115</v>
      </c>
      <c r="R147" s="1" t="s">
        <v>116</v>
      </c>
      <c r="S147" s="1" t="s">
        <v>117</v>
      </c>
      <c r="T147" s="1" t="s">
        <v>118</v>
      </c>
      <c r="U147" s="1" t="s">
        <v>1206</v>
      </c>
      <c r="V147" s="1" t="s">
        <v>1207</v>
      </c>
      <c r="W147" s="1" t="s">
        <v>1208</v>
      </c>
      <c r="X147" s="1" t="s">
        <v>1209</v>
      </c>
    </row>
    <row r="148" spans="1:24" x14ac:dyDescent="0.35">
      <c r="A148" s="1" t="s">
        <v>1210</v>
      </c>
      <c r="B148" s="1" t="s">
        <v>1211</v>
      </c>
      <c r="C148" s="1" t="s">
        <v>112</v>
      </c>
      <c r="D148" s="1" t="s">
        <v>1212</v>
      </c>
      <c r="E148" s="1" t="s">
        <v>28</v>
      </c>
      <c r="F148" s="1" t="s">
        <v>29</v>
      </c>
      <c r="G148" s="1" t="s">
        <v>30</v>
      </c>
      <c r="H148" s="1" t="s">
        <v>31</v>
      </c>
      <c r="I148" s="1" t="s">
        <v>46</v>
      </c>
      <c r="J148" s="1" t="s">
        <v>167</v>
      </c>
      <c r="K148">
        <v>1346</v>
      </c>
      <c r="L148">
        <v>1347</v>
      </c>
      <c r="M148">
        <v>2666748</v>
      </c>
      <c r="N148">
        <v>1150767</v>
      </c>
      <c r="O148">
        <v>46.504880999999997</v>
      </c>
      <c r="P148">
        <v>8.3082360000000008</v>
      </c>
      <c r="Q148" s="1" t="s">
        <v>48</v>
      </c>
      <c r="R148" s="1" t="s">
        <v>49</v>
      </c>
      <c r="S148" s="1" t="s">
        <v>50</v>
      </c>
      <c r="T148" s="1" t="s">
        <v>51</v>
      </c>
      <c r="U148" s="1" t="s">
        <v>1213</v>
      </c>
      <c r="V148" s="1" t="s">
        <v>1214</v>
      </c>
      <c r="W148" s="1" t="s">
        <v>1215</v>
      </c>
      <c r="X148" s="1" t="s">
        <v>1216</v>
      </c>
    </row>
    <row r="149" spans="1:24" x14ac:dyDescent="0.35">
      <c r="A149" s="1" t="s">
        <v>1217</v>
      </c>
      <c r="B149" s="1" t="s">
        <v>1218</v>
      </c>
      <c r="C149" s="1" t="s">
        <v>76</v>
      </c>
      <c r="D149" s="1" t="s">
        <v>1219</v>
      </c>
      <c r="E149" s="1" t="s">
        <v>28</v>
      </c>
      <c r="F149" s="1" t="s">
        <v>29</v>
      </c>
      <c r="G149" s="1" t="s">
        <v>30</v>
      </c>
      <c r="H149" s="1" t="s">
        <v>31</v>
      </c>
      <c r="I149" s="1" t="s">
        <v>46</v>
      </c>
      <c r="J149" s="1" t="s">
        <v>1220</v>
      </c>
      <c r="K149">
        <v>1568</v>
      </c>
      <c r="L149">
        <v>1569</v>
      </c>
      <c r="M149">
        <v>2761636</v>
      </c>
      <c r="N149">
        <v>1180385</v>
      </c>
      <c r="O149">
        <v>46.755038999999996</v>
      </c>
      <c r="P149">
        <v>9.5544329999999995</v>
      </c>
      <c r="Q149" s="1" t="s">
        <v>148</v>
      </c>
      <c r="R149" s="1" t="s">
        <v>149</v>
      </c>
      <c r="S149" s="1" t="s">
        <v>150</v>
      </c>
      <c r="T149" s="1" t="s">
        <v>151</v>
      </c>
      <c r="U149" s="1" t="s">
        <v>1221</v>
      </c>
      <c r="V149" s="1" t="s">
        <v>1222</v>
      </c>
      <c r="W149" s="1" t="s">
        <v>1223</v>
      </c>
      <c r="X149" s="1" t="s">
        <v>1224</v>
      </c>
    </row>
    <row r="150" spans="1:24" x14ac:dyDescent="0.35">
      <c r="A150" s="1" t="s">
        <v>1225</v>
      </c>
      <c r="B150" s="1" t="s">
        <v>1226</v>
      </c>
      <c r="C150" s="1" t="s">
        <v>1227</v>
      </c>
      <c r="D150" s="1" t="s">
        <v>1228</v>
      </c>
      <c r="E150" s="1" t="s">
        <v>28</v>
      </c>
      <c r="F150" s="1" t="s">
        <v>29</v>
      </c>
      <c r="G150" s="1" t="s">
        <v>30</v>
      </c>
      <c r="H150" s="1" t="s">
        <v>31</v>
      </c>
      <c r="I150" s="1" t="s">
        <v>46</v>
      </c>
      <c r="J150" s="1" t="s">
        <v>60</v>
      </c>
      <c r="K150">
        <v>457</v>
      </c>
      <c r="L150">
        <v>459</v>
      </c>
      <c r="M150">
        <v>2757724</v>
      </c>
      <c r="N150">
        <v>1221699</v>
      </c>
      <c r="O150">
        <v>47.127471999999997</v>
      </c>
      <c r="P150">
        <v>9.5175780000000003</v>
      </c>
      <c r="Q150" s="1" t="s">
        <v>48</v>
      </c>
      <c r="R150" s="1" t="s">
        <v>49</v>
      </c>
      <c r="S150" s="1" t="s">
        <v>50</v>
      </c>
      <c r="T150" s="1" t="s">
        <v>51</v>
      </c>
      <c r="U150" s="1" t="s">
        <v>1229</v>
      </c>
      <c r="V150" s="1" t="s">
        <v>1230</v>
      </c>
      <c r="W150" s="1" t="s">
        <v>1231</v>
      </c>
      <c r="X150" s="1" t="s">
        <v>1232</v>
      </c>
    </row>
    <row r="151" spans="1:24" x14ac:dyDescent="0.35">
      <c r="A151" s="1" t="s">
        <v>1233</v>
      </c>
      <c r="B151" s="1" t="s">
        <v>1234</v>
      </c>
      <c r="C151" s="1" t="s">
        <v>58</v>
      </c>
      <c r="D151" s="1" t="s">
        <v>1235</v>
      </c>
      <c r="E151" s="1" t="s">
        <v>28</v>
      </c>
      <c r="F151" s="1" t="s">
        <v>29</v>
      </c>
      <c r="G151" s="1" t="s">
        <v>30</v>
      </c>
      <c r="H151" s="1" t="s">
        <v>31</v>
      </c>
      <c r="I151" s="1" t="s">
        <v>46</v>
      </c>
      <c r="J151" s="1" t="s">
        <v>60</v>
      </c>
      <c r="K151">
        <v>405</v>
      </c>
      <c r="M151">
        <v>2552106</v>
      </c>
      <c r="N151">
        <v>1146847</v>
      </c>
      <c r="O151">
        <v>46.471238999999997</v>
      </c>
      <c r="P151">
        <v>6.8150560000000002</v>
      </c>
      <c r="Q151" s="1" t="s">
        <v>205</v>
      </c>
      <c r="R151" s="1" t="s">
        <v>206</v>
      </c>
      <c r="S151" s="1" t="s">
        <v>207</v>
      </c>
      <c r="T151" s="1" t="s">
        <v>208</v>
      </c>
      <c r="U151" s="1" t="s">
        <v>1236</v>
      </c>
      <c r="V151" s="1" t="s">
        <v>1237</v>
      </c>
      <c r="W151" s="1" t="s">
        <v>1238</v>
      </c>
      <c r="X151" s="1" t="s">
        <v>1239</v>
      </c>
    </row>
    <row r="152" spans="1:24" x14ac:dyDescent="0.35">
      <c r="A152" s="1" t="s">
        <v>1240</v>
      </c>
      <c r="B152" s="1" t="s">
        <v>1241</v>
      </c>
      <c r="C152" s="1" t="s">
        <v>76</v>
      </c>
      <c r="D152" s="1" t="s">
        <v>1242</v>
      </c>
      <c r="E152" s="1" t="s">
        <v>28</v>
      </c>
      <c r="F152" s="1" t="s">
        <v>29</v>
      </c>
      <c r="G152" s="1" t="s">
        <v>30</v>
      </c>
      <c r="H152" s="1" t="s">
        <v>31</v>
      </c>
      <c r="I152" s="1" t="s">
        <v>46</v>
      </c>
      <c r="J152" s="1" t="s">
        <v>33</v>
      </c>
      <c r="K152">
        <v>1089</v>
      </c>
      <c r="L152">
        <v>1090</v>
      </c>
      <c r="M152">
        <v>2768487</v>
      </c>
      <c r="N152">
        <v>1135866</v>
      </c>
      <c r="O152">
        <v>46.353019000000003</v>
      </c>
      <c r="P152">
        <v>9.6278000000000006</v>
      </c>
      <c r="Q152" s="1" t="s">
        <v>193</v>
      </c>
      <c r="R152" s="1" t="s">
        <v>194</v>
      </c>
      <c r="S152" s="1" t="s">
        <v>195</v>
      </c>
      <c r="T152" s="1" t="s">
        <v>196</v>
      </c>
      <c r="U152" s="1" t="s">
        <v>1243</v>
      </c>
      <c r="V152" s="1" t="s">
        <v>1244</v>
      </c>
      <c r="W152" s="1" t="s">
        <v>1245</v>
      </c>
      <c r="X152" s="1" t="s">
        <v>1246</v>
      </c>
    </row>
    <row r="153" spans="1:24" x14ac:dyDescent="0.35">
      <c r="A153" s="1" t="s">
        <v>1247</v>
      </c>
      <c r="B153" s="1" t="s">
        <v>1248</v>
      </c>
      <c r="C153" s="1" t="s">
        <v>112</v>
      </c>
      <c r="D153" s="1" t="s">
        <v>1249</v>
      </c>
      <c r="E153" s="1" t="s">
        <v>28</v>
      </c>
      <c r="F153" s="1" t="s">
        <v>29</v>
      </c>
      <c r="G153" s="1" t="s">
        <v>30</v>
      </c>
      <c r="H153" s="1" t="s">
        <v>31</v>
      </c>
      <c r="I153" s="1" t="s">
        <v>46</v>
      </c>
      <c r="J153" s="1" t="s">
        <v>167</v>
      </c>
      <c r="K153">
        <v>639</v>
      </c>
      <c r="L153">
        <v>641</v>
      </c>
      <c r="M153">
        <v>2631151</v>
      </c>
      <c r="N153">
        <v>1128024</v>
      </c>
      <c r="O153">
        <v>46.302900000000001</v>
      </c>
      <c r="P153">
        <v>7.8429580000000003</v>
      </c>
      <c r="Q153" s="1" t="s">
        <v>48</v>
      </c>
      <c r="R153" s="1" t="s">
        <v>49</v>
      </c>
      <c r="S153" s="1" t="s">
        <v>50</v>
      </c>
      <c r="T153" s="1" t="s">
        <v>51</v>
      </c>
      <c r="U153" s="1" t="s">
        <v>1250</v>
      </c>
      <c r="V153" s="1" t="s">
        <v>1251</v>
      </c>
      <c r="W153" s="1" t="s">
        <v>1252</v>
      </c>
      <c r="X153" s="1" t="s">
        <v>1253</v>
      </c>
    </row>
    <row r="154" spans="1:24" x14ac:dyDescent="0.35">
      <c r="A154" s="1" t="s">
        <v>1254</v>
      </c>
      <c r="B154" s="1" t="s">
        <v>1255</v>
      </c>
      <c r="C154" s="1" t="s">
        <v>58</v>
      </c>
      <c r="D154" s="1" t="s">
        <v>1256</v>
      </c>
      <c r="E154" s="1" t="s">
        <v>28</v>
      </c>
      <c r="F154" s="1" t="s">
        <v>29</v>
      </c>
      <c r="G154" s="1" t="s">
        <v>30</v>
      </c>
      <c r="H154" s="1" t="s">
        <v>31</v>
      </c>
      <c r="I154" s="1" t="s">
        <v>46</v>
      </c>
      <c r="J154" s="1" t="s">
        <v>428</v>
      </c>
      <c r="K154">
        <v>859</v>
      </c>
      <c r="M154">
        <v>2544198</v>
      </c>
      <c r="N154">
        <v>1163651</v>
      </c>
      <c r="O154">
        <v>46.621777999999999</v>
      </c>
      <c r="P154">
        <v>6.7100689999999998</v>
      </c>
      <c r="Q154" s="1" t="s">
        <v>514</v>
      </c>
      <c r="R154" s="1" t="s">
        <v>515</v>
      </c>
      <c r="S154" s="1" t="s">
        <v>516</v>
      </c>
      <c r="T154" s="1" t="s">
        <v>517</v>
      </c>
      <c r="U154" s="1" t="s">
        <v>1257</v>
      </c>
      <c r="V154" s="1" t="s">
        <v>1258</v>
      </c>
      <c r="W154" s="1" t="s">
        <v>1259</v>
      </c>
      <c r="X154" s="1" t="s">
        <v>1260</v>
      </c>
    </row>
    <row r="155" spans="1:24" x14ac:dyDescent="0.35">
      <c r="A155" s="1" t="s">
        <v>1261</v>
      </c>
      <c r="B155" s="1" t="s">
        <v>1262</v>
      </c>
      <c r="C155" s="1" t="s">
        <v>76</v>
      </c>
      <c r="D155" s="1" t="s">
        <v>1263</v>
      </c>
      <c r="E155" s="1" t="s">
        <v>28</v>
      </c>
      <c r="F155" s="1" t="s">
        <v>29</v>
      </c>
      <c r="G155" s="1" t="s">
        <v>30</v>
      </c>
      <c r="H155" s="1" t="s">
        <v>31</v>
      </c>
      <c r="I155" s="1" t="s">
        <v>46</v>
      </c>
      <c r="J155" s="1" t="s">
        <v>1264</v>
      </c>
      <c r="K155">
        <v>1242</v>
      </c>
      <c r="M155">
        <v>2734017</v>
      </c>
      <c r="N155">
        <v>1165551</v>
      </c>
      <c r="O155">
        <v>46.627758</v>
      </c>
      <c r="P155">
        <v>9.1887109999999996</v>
      </c>
      <c r="Q155" s="1" t="s">
        <v>193</v>
      </c>
      <c r="R155" s="1" t="s">
        <v>194</v>
      </c>
      <c r="S155" s="1" t="s">
        <v>195</v>
      </c>
      <c r="T155" s="1" t="s">
        <v>196</v>
      </c>
      <c r="U155" s="1" t="s">
        <v>1265</v>
      </c>
      <c r="V155" s="1" t="s">
        <v>1266</v>
      </c>
      <c r="W155" s="1" t="s">
        <v>1267</v>
      </c>
      <c r="X155" s="1" t="s">
        <v>1268</v>
      </c>
    </row>
    <row r="156" spans="1:24" x14ac:dyDescent="0.35">
      <c r="A156" s="1" t="s">
        <v>1269</v>
      </c>
      <c r="B156" s="1" t="s">
        <v>1270</v>
      </c>
      <c r="C156" s="1" t="s">
        <v>681</v>
      </c>
      <c r="D156" s="1" t="s">
        <v>1271</v>
      </c>
      <c r="E156" s="1" t="s">
        <v>28</v>
      </c>
      <c r="F156" s="1" t="s">
        <v>29</v>
      </c>
      <c r="G156" s="1" t="s">
        <v>30</v>
      </c>
      <c r="H156" s="1" t="s">
        <v>31</v>
      </c>
      <c r="I156" s="1" t="s">
        <v>46</v>
      </c>
      <c r="J156" s="1" t="s">
        <v>60</v>
      </c>
      <c r="K156">
        <v>485</v>
      </c>
      <c r="L156">
        <v>487</v>
      </c>
      <c r="M156">
        <v>2693848</v>
      </c>
      <c r="N156">
        <v>1230744</v>
      </c>
      <c r="O156">
        <v>47.220958000000003</v>
      </c>
      <c r="P156">
        <v>8.6777060000000006</v>
      </c>
      <c r="Q156" s="1" t="s">
        <v>1272</v>
      </c>
      <c r="R156" s="1" t="s">
        <v>1273</v>
      </c>
      <c r="S156" s="1" t="s">
        <v>1274</v>
      </c>
      <c r="T156" s="1" t="s">
        <v>1275</v>
      </c>
      <c r="U156" s="1" t="s">
        <v>1276</v>
      </c>
      <c r="V156" s="1" t="s">
        <v>1277</v>
      </c>
      <c r="W156" s="1" t="s">
        <v>1278</v>
      </c>
      <c r="X156" s="1" t="s">
        <v>1279</v>
      </c>
    </row>
    <row r="157" spans="1:24" x14ac:dyDescent="0.35">
      <c r="A157" s="1" t="s">
        <v>1280</v>
      </c>
      <c r="B157" s="1" t="s">
        <v>1281</v>
      </c>
      <c r="C157" s="1" t="s">
        <v>76</v>
      </c>
      <c r="D157" s="1" t="s">
        <v>1282</v>
      </c>
      <c r="E157" s="1" t="s">
        <v>28</v>
      </c>
      <c r="F157" s="1" t="s">
        <v>29</v>
      </c>
      <c r="G157" s="1" t="s">
        <v>30</v>
      </c>
      <c r="H157" s="1" t="s">
        <v>31</v>
      </c>
      <c r="I157" s="1" t="s">
        <v>32</v>
      </c>
      <c r="J157" s="1" t="s">
        <v>1283</v>
      </c>
      <c r="K157">
        <v>2691</v>
      </c>
      <c r="L157">
        <v>2674</v>
      </c>
      <c r="M157">
        <v>2780616</v>
      </c>
      <c r="N157">
        <v>1189634</v>
      </c>
      <c r="O157">
        <v>46.833325000000002</v>
      </c>
      <c r="P157">
        <v>9.8063939999999992</v>
      </c>
      <c r="Q157" s="1" t="s">
        <v>115</v>
      </c>
      <c r="R157" s="1" t="s">
        <v>116</v>
      </c>
      <c r="S157" s="1" t="s">
        <v>117</v>
      </c>
      <c r="T157" s="1" t="s">
        <v>118</v>
      </c>
      <c r="U157" s="1" t="s">
        <v>1284</v>
      </c>
      <c r="V157" s="1" t="s">
        <v>1285</v>
      </c>
      <c r="W157" s="1" t="s">
        <v>1286</v>
      </c>
      <c r="X157" s="1" t="s">
        <v>1287</v>
      </c>
    </row>
    <row r="158" spans="1:24" x14ac:dyDescent="0.35">
      <c r="A158" s="1" t="s">
        <v>1288</v>
      </c>
      <c r="B158" s="1" t="s">
        <v>1289</v>
      </c>
      <c r="C158" s="1" t="s">
        <v>26</v>
      </c>
      <c r="D158" s="1" t="s">
        <v>1290</v>
      </c>
      <c r="E158" s="1" t="s">
        <v>28</v>
      </c>
      <c r="F158" s="1" t="s">
        <v>29</v>
      </c>
      <c r="G158" s="1" t="s">
        <v>30</v>
      </c>
      <c r="H158" s="1" t="s">
        <v>31</v>
      </c>
      <c r="I158" s="1" t="s">
        <v>46</v>
      </c>
      <c r="J158" s="1" t="s">
        <v>525</v>
      </c>
      <c r="K158">
        <v>422</v>
      </c>
      <c r="L158">
        <v>424</v>
      </c>
      <c r="M158">
        <v>2626405</v>
      </c>
      <c r="N158">
        <v>1233849</v>
      </c>
      <c r="O158">
        <v>47.255025000000003</v>
      </c>
      <c r="P158">
        <v>7.7874749999999997</v>
      </c>
      <c r="Q158" s="1" t="s">
        <v>85</v>
      </c>
      <c r="R158" s="1" t="s">
        <v>86</v>
      </c>
      <c r="S158" s="1" t="s">
        <v>87</v>
      </c>
      <c r="T158" s="1" t="s">
        <v>88</v>
      </c>
      <c r="U158" s="1" t="s">
        <v>1291</v>
      </c>
      <c r="V158" s="1" t="s">
        <v>1292</v>
      </c>
      <c r="W158" s="1" t="s">
        <v>1293</v>
      </c>
      <c r="X158" s="1" t="s">
        <v>1294</v>
      </c>
    </row>
    <row r="159" spans="1:24" x14ac:dyDescent="0.35">
      <c r="A159" s="1" t="s">
        <v>1295</v>
      </c>
      <c r="B159" s="1" t="s">
        <v>1296</v>
      </c>
      <c r="C159" s="1" t="s">
        <v>112</v>
      </c>
      <c r="D159" s="1" t="s">
        <v>1297</v>
      </c>
      <c r="E159" s="1" t="s">
        <v>28</v>
      </c>
      <c r="F159" s="1" t="s">
        <v>29</v>
      </c>
      <c r="G159" s="1" t="s">
        <v>30</v>
      </c>
      <c r="H159" s="1" t="s">
        <v>31</v>
      </c>
      <c r="I159" s="1" t="s">
        <v>32</v>
      </c>
      <c r="J159" s="1" t="s">
        <v>1298</v>
      </c>
      <c r="K159">
        <v>1638</v>
      </c>
      <c r="L159">
        <v>1640</v>
      </c>
      <c r="M159">
        <v>2624298</v>
      </c>
      <c r="N159">
        <v>1097574</v>
      </c>
      <c r="O159">
        <v>46.029271999999999</v>
      </c>
      <c r="P159">
        <v>7.7524329999999999</v>
      </c>
      <c r="Q159" s="1" t="s">
        <v>514</v>
      </c>
      <c r="R159" s="1" t="s">
        <v>515</v>
      </c>
      <c r="S159" s="1" t="s">
        <v>516</v>
      </c>
      <c r="T159" s="1" t="s">
        <v>517</v>
      </c>
      <c r="U159" s="1" t="s">
        <v>1299</v>
      </c>
      <c r="V159" s="1" t="s">
        <v>1300</v>
      </c>
      <c r="W159" s="1" t="s">
        <v>1301</v>
      </c>
      <c r="X159" s="1" t="s">
        <v>1302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8D00-D25C-4FA4-9386-EFEA27E2572B}">
  <dimension ref="A1:X5"/>
  <sheetViews>
    <sheetView workbookViewId="0"/>
  </sheetViews>
  <sheetFormatPr defaultRowHeight="14.5" x14ac:dyDescent="0.35"/>
  <cols>
    <col min="1" max="1" width="13.54296875" bestFit="1" customWidth="1"/>
    <col min="2" max="2" width="14.90625" bestFit="1" customWidth="1"/>
    <col min="3" max="3" width="15.6328125" bestFit="1" customWidth="1"/>
    <col min="4" max="4" width="17" bestFit="1" customWidth="1"/>
    <col min="5" max="5" width="24.453125" bestFit="1" customWidth="1"/>
    <col min="6" max="6" width="25.36328125" bestFit="1" customWidth="1"/>
    <col min="7" max="7" width="23.7265625" bestFit="1" customWidth="1"/>
    <col min="8" max="8" width="21.26953125" bestFit="1" customWidth="1"/>
    <col min="9" max="9" width="18.6328125" bestFit="1" customWidth="1"/>
    <col min="10" max="10" width="18.90625" bestFit="1" customWidth="1"/>
    <col min="11" max="11" width="20.08984375" bestFit="1" customWidth="1"/>
    <col min="12" max="12" width="29.7265625" bestFit="1" customWidth="1"/>
    <col min="13" max="13" width="28.6328125" bestFit="1" customWidth="1"/>
    <col min="14" max="14" width="29.54296875" bestFit="1" customWidth="1"/>
    <col min="15" max="15" width="29" bestFit="1" customWidth="1"/>
    <col min="16" max="16" width="29.453125" bestFit="1" customWidth="1"/>
    <col min="17" max="17" width="21.54296875" bestFit="1" customWidth="1"/>
    <col min="18" max="18" width="20.7265625" bestFit="1" customWidth="1"/>
    <col min="19" max="19" width="20.6328125" bestFit="1" customWidth="1"/>
    <col min="20" max="20" width="21.54296875" bestFit="1" customWidth="1"/>
    <col min="21" max="24" width="80.7265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s="1" t="s">
        <v>123</v>
      </c>
      <c r="B2" s="1" t="s">
        <v>124</v>
      </c>
      <c r="C2" s="1" t="s">
        <v>26</v>
      </c>
      <c r="D2" s="1" t="s">
        <v>125</v>
      </c>
      <c r="E2" s="1" t="s">
        <v>1303</v>
      </c>
      <c r="F2" s="1" t="s">
        <v>1304</v>
      </c>
      <c r="G2" s="1" t="s">
        <v>1305</v>
      </c>
      <c r="H2" s="1" t="s">
        <v>1306</v>
      </c>
      <c r="I2" s="1" t="s">
        <v>46</v>
      </c>
      <c r="J2" s="1" t="s">
        <v>126</v>
      </c>
      <c r="K2">
        <v>942</v>
      </c>
      <c r="M2">
        <v>2606850</v>
      </c>
      <c r="N2">
        <v>1202975</v>
      </c>
      <c r="O2">
        <v>46.977806000000001</v>
      </c>
      <c r="P2">
        <v>7.5286670000000004</v>
      </c>
      <c r="Q2" s="1" t="s">
        <v>115</v>
      </c>
      <c r="R2" s="1" t="s">
        <v>116</v>
      </c>
      <c r="S2" s="1" t="s">
        <v>117</v>
      </c>
      <c r="T2" s="1" t="s">
        <v>118</v>
      </c>
      <c r="U2" s="1" t="s">
        <v>127</v>
      </c>
      <c r="V2" s="1" t="s">
        <v>128</v>
      </c>
      <c r="W2" s="1" t="s">
        <v>129</v>
      </c>
      <c r="X2" s="1" t="s">
        <v>130</v>
      </c>
    </row>
    <row r="3" spans="1:24" x14ac:dyDescent="0.35">
      <c r="A3" s="1" t="s">
        <v>974</v>
      </c>
      <c r="B3" s="1" t="s">
        <v>975</v>
      </c>
      <c r="C3" s="1" t="s">
        <v>165</v>
      </c>
      <c r="D3" s="1" t="s">
        <v>976</v>
      </c>
      <c r="E3" s="1" t="s">
        <v>1303</v>
      </c>
      <c r="F3" s="1" t="s">
        <v>1304</v>
      </c>
      <c r="G3" s="1" t="s">
        <v>1305</v>
      </c>
      <c r="H3" s="1" t="s">
        <v>1306</v>
      </c>
      <c r="I3" s="1" t="s">
        <v>46</v>
      </c>
      <c r="J3" s="1" t="s">
        <v>977</v>
      </c>
      <c r="K3">
        <v>334</v>
      </c>
      <c r="L3">
        <v>336</v>
      </c>
      <c r="M3">
        <v>2659356</v>
      </c>
      <c r="N3">
        <v>1265381</v>
      </c>
      <c r="O3">
        <v>47.536475000000003</v>
      </c>
      <c r="P3">
        <v>8.2269439999999996</v>
      </c>
      <c r="Q3" s="1" t="s">
        <v>48</v>
      </c>
      <c r="R3" s="1" t="s">
        <v>49</v>
      </c>
      <c r="S3" s="1" t="s">
        <v>50</v>
      </c>
      <c r="T3" s="1" t="s">
        <v>51</v>
      </c>
      <c r="U3" s="1" t="s">
        <v>978</v>
      </c>
      <c r="V3" s="1" t="s">
        <v>979</v>
      </c>
      <c r="W3" s="1" t="s">
        <v>980</v>
      </c>
      <c r="X3" s="1" t="s">
        <v>981</v>
      </c>
    </row>
    <row r="4" spans="1:24" x14ac:dyDescent="0.35">
      <c r="A4" s="1" t="s">
        <v>1155</v>
      </c>
      <c r="B4" s="1" t="s">
        <v>1156</v>
      </c>
      <c r="C4" s="1" t="s">
        <v>1157</v>
      </c>
      <c r="D4" s="1" t="s">
        <v>1158</v>
      </c>
      <c r="E4" s="1" t="s">
        <v>1303</v>
      </c>
      <c r="F4" s="1" t="s">
        <v>1304</v>
      </c>
      <c r="G4" s="1" t="s">
        <v>1305</v>
      </c>
      <c r="H4" s="1" t="s">
        <v>1306</v>
      </c>
      <c r="I4" s="1" t="s">
        <v>46</v>
      </c>
      <c r="J4" s="1" t="s">
        <v>1159</v>
      </c>
      <c r="K4">
        <v>493</v>
      </c>
      <c r="M4">
        <v>2618696</v>
      </c>
      <c r="N4">
        <v>1269037</v>
      </c>
      <c r="O4">
        <v>47.571767000000001</v>
      </c>
      <c r="P4">
        <v>7.6870940000000001</v>
      </c>
      <c r="Q4" s="1" t="s">
        <v>115</v>
      </c>
      <c r="R4" s="1" t="s">
        <v>116</v>
      </c>
      <c r="S4" s="1" t="s">
        <v>117</v>
      </c>
      <c r="T4" s="1" t="s">
        <v>118</v>
      </c>
      <c r="U4" s="1" t="s">
        <v>1160</v>
      </c>
      <c r="V4" s="1" t="s">
        <v>1161</v>
      </c>
      <c r="W4" s="1" t="s">
        <v>1162</v>
      </c>
      <c r="X4" s="1" t="s">
        <v>1163</v>
      </c>
    </row>
    <row r="5" spans="1:24" x14ac:dyDescent="0.35">
      <c r="A5" s="1" t="s">
        <v>1202</v>
      </c>
      <c r="B5" s="1" t="s">
        <v>1203</v>
      </c>
      <c r="C5" s="1" t="s">
        <v>681</v>
      </c>
      <c r="D5" s="1" t="s">
        <v>1204</v>
      </c>
      <c r="E5" s="1" t="s">
        <v>1303</v>
      </c>
      <c r="F5" s="1" t="s">
        <v>1304</v>
      </c>
      <c r="G5" s="1" t="s">
        <v>1305</v>
      </c>
      <c r="H5" s="1" t="s">
        <v>1306</v>
      </c>
      <c r="I5" s="1" t="s">
        <v>46</v>
      </c>
      <c r="J5" s="1" t="s">
        <v>1205</v>
      </c>
      <c r="K5">
        <v>854</v>
      </c>
      <c r="M5">
        <v>2679455</v>
      </c>
      <c r="N5">
        <v>1245034</v>
      </c>
      <c r="O5">
        <v>47.351363999999997</v>
      </c>
      <c r="P5">
        <v>8.4902250000000006</v>
      </c>
      <c r="Q5" s="1" t="s">
        <v>115</v>
      </c>
      <c r="R5" s="1" t="s">
        <v>116</v>
      </c>
      <c r="S5" s="1" t="s">
        <v>117</v>
      </c>
      <c r="T5" s="1" t="s">
        <v>118</v>
      </c>
      <c r="U5" s="1" t="s">
        <v>1206</v>
      </c>
      <c r="V5" s="1" t="s">
        <v>1207</v>
      </c>
      <c r="W5" s="1" t="s">
        <v>1208</v>
      </c>
      <c r="X5" s="1" t="s">
        <v>1209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FFC1-0121-4FBE-B948-2F0F970C40EF}">
  <dimension ref="A1:M155"/>
  <sheetViews>
    <sheetView workbookViewId="0">
      <selection activeCell="K1" sqref="K1"/>
    </sheetView>
  </sheetViews>
  <sheetFormatPr defaultRowHeight="14.5" x14ac:dyDescent="0.35"/>
  <cols>
    <col min="1" max="1" width="21.7265625" bestFit="1" customWidth="1"/>
    <col min="2" max="2" width="70.90625" bestFit="1" customWidth="1"/>
    <col min="3" max="3" width="73.26953125" bestFit="1" customWidth="1"/>
    <col min="4" max="4" width="65.36328125" bestFit="1" customWidth="1"/>
    <col min="5" max="5" width="80.7265625" bestFit="1" customWidth="1"/>
    <col min="6" max="6" width="20.36328125" bestFit="1" customWidth="1"/>
    <col min="7" max="7" width="19.54296875" bestFit="1" customWidth="1"/>
    <col min="8" max="8" width="19.453125" bestFit="1" customWidth="1"/>
    <col min="9" max="9" width="20.36328125" bestFit="1" customWidth="1"/>
    <col min="10" max="10" width="21.7265625" bestFit="1" customWidth="1"/>
    <col min="11" max="11" width="20.453125" bestFit="1" customWidth="1"/>
    <col min="12" max="12" width="20.08984375" bestFit="1" customWidth="1"/>
    <col min="13" max="13" width="16" bestFit="1" customWidth="1"/>
  </cols>
  <sheetData>
    <row r="1" spans="1:13" x14ac:dyDescent="0.35">
      <c r="A1" t="s">
        <v>1307</v>
      </c>
      <c r="B1" t="s">
        <v>1308</v>
      </c>
      <c r="C1" t="s">
        <v>1309</v>
      </c>
      <c r="D1" t="s">
        <v>1310</v>
      </c>
      <c r="E1" t="s">
        <v>1311</v>
      </c>
      <c r="F1" t="s">
        <v>1312</v>
      </c>
      <c r="G1" t="s">
        <v>1313</v>
      </c>
      <c r="H1" t="s">
        <v>1314</v>
      </c>
      <c r="I1" t="s">
        <v>1315</v>
      </c>
      <c r="J1" t="s">
        <v>1316</v>
      </c>
      <c r="K1" t="s">
        <v>1317</v>
      </c>
      <c r="L1" t="s">
        <v>1318</v>
      </c>
      <c r="M1" t="s">
        <v>1319</v>
      </c>
    </row>
    <row r="2" spans="1:13" hidden="1" x14ac:dyDescent="0.35">
      <c r="A2" s="1" t="s">
        <v>1320</v>
      </c>
      <c r="B2" s="1" t="s">
        <v>1321</v>
      </c>
      <c r="C2" s="1" t="s">
        <v>1322</v>
      </c>
      <c r="D2" s="1" t="s">
        <v>1323</v>
      </c>
      <c r="E2" s="1" t="s">
        <v>1324</v>
      </c>
      <c r="F2" s="1" t="s">
        <v>1325</v>
      </c>
      <c r="G2" s="1" t="s">
        <v>1326</v>
      </c>
      <c r="H2" s="1" t="s">
        <v>1327</v>
      </c>
      <c r="I2" s="1" t="s">
        <v>1325</v>
      </c>
      <c r="J2" s="1" t="s">
        <v>1328</v>
      </c>
      <c r="K2">
        <v>0</v>
      </c>
      <c r="L2" s="1" t="s">
        <v>1329</v>
      </c>
      <c r="M2" s="1" t="s">
        <v>1330</v>
      </c>
    </row>
    <row r="3" spans="1:13" hidden="1" x14ac:dyDescent="0.35">
      <c r="A3" s="1" t="s">
        <v>1331</v>
      </c>
      <c r="B3" s="1" t="s">
        <v>1332</v>
      </c>
      <c r="C3" s="1" t="s">
        <v>1333</v>
      </c>
      <c r="D3" s="1" t="s">
        <v>1334</v>
      </c>
      <c r="E3" s="1" t="s">
        <v>1335</v>
      </c>
      <c r="F3" s="1" t="s">
        <v>1325</v>
      </c>
      <c r="G3" s="1" t="s">
        <v>1326</v>
      </c>
      <c r="H3" s="1" t="s">
        <v>1327</v>
      </c>
      <c r="I3" s="1" t="s">
        <v>1325</v>
      </c>
      <c r="J3" s="1" t="s">
        <v>1336</v>
      </c>
      <c r="K3">
        <v>0</v>
      </c>
      <c r="L3" s="1" t="s">
        <v>1329</v>
      </c>
      <c r="M3" s="1" t="s">
        <v>1330</v>
      </c>
    </row>
    <row r="4" spans="1:13" x14ac:dyDescent="0.35">
      <c r="A4" s="1" t="s">
        <v>1337</v>
      </c>
      <c r="B4" s="1" t="s">
        <v>1338</v>
      </c>
      <c r="C4" s="1" t="s">
        <v>1339</v>
      </c>
      <c r="D4" s="1" t="s">
        <v>1340</v>
      </c>
      <c r="E4" s="1" t="s">
        <v>1341</v>
      </c>
      <c r="F4" s="1" t="s">
        <v>1325</v>
      </c>
      <c r="G4" s="1" t="s">
        <v>1326</v>
      </c>
      <c r="H4" s="1" t="s">
        <v>1327</v>
      </c>
      <c r="I4" s="1" t="s">
        <v>1325</v>
      </c>
      <c r="J4" s="1" t="s">
        <v>1342</v>
      </c>
      <c r="K4">
        <v>0</v>
      </c>
      <c r="L4" s="1" t="s">
        <v>1329</v>
      </c>
      <c r="M4" s="1" t="s">
        <v>1330</v>
      </c>
    </row>
    <row r="5" spans="1:13" hidden="1" x14ac:dyDescent="0.35">
      <c r="A5" s="1" t="s">
        <v>1343</v>
      </c>
      <c r="B5" s="1" t="s">
        <v>1344</v>
      </c>
      <c r="C5" s="1" t="s">
        <v>1345</v>
      </c>
      <c r="D5" s="1" t="s">
        <v>1346</v>
      </c>
      <c r="E5" s="1" t="s">
        <v>1347</v>
      </c>
      <c r="F5" s="1" t="s">
        <v>1348</v>
      </c>
      <c r="G5" s="1" t="s">
        <v>1349</v>
      </c>
      <c r="H5" s="1" t="s">
        <v>1350</v>
      </c>
      <c r="I5" s="1" t="s">
        <v>1351</v>
      </c>
      <c r="J5" s="1" t="s">
        <v>1328</v>
      </c>
      <c r="K5">
        <v>1</v>
      </c>
      <c r="L5" s="1" t="s">
        <v>1352</v>
      </c>
      <c r="M5" s="1" t="s">
        <v>1353</v>
      </c>
    </row>
    <row r="6" spans="1:13" hidden="1" x14ac:dyDescent="0.35">
      <c r="A6" s="1" t="s">
        <v>1354</v>
      </c>
      <c r="B6" s="1" t="s">
        <v>1355</v>
      </c>
      <c r="C6" s="1" t="s">
        <v>1356</v>
      </c>
      <c r="D6" s="1" t="s">
        <v>1357</v>
      </c>
      <c r="E6" s="1" t="s">
        <v>1358</v>
      </c>
      <c r="F6" s="1" t="s">
        <v>1348</v>
      </c>
      <c r="G6" s="1" t="s">
        <v>1349</v>
      </c>
      <c r="H6" s="1" t="s">
        <v>1350</v>
      </c>
      <c r="I6" s="1" t="s">
        <v>1351</v>
      </c>
      <c r="J6" s="1" t="s">
        <v>1336</v>
      </c>
      <c r="K6">
        <v>3</v>
      </c>
      <c r="L6" s="1" t="s">
        <v>1352</v>
      </c>
      <c r="M6" s="1" t="s">
        <v>1359</v>
      </c>
    </row>
    <row r="7" spans="1:13" hidden="1" x14ac:dyDescent="0.35">
      <c r="A7" s="1" t="s">
        <v>1360</v>
      </c>
      <c r="B7" s="1" t="s">
        <v>1361</v>
      </c>
      <c r="C7" s="1" t="s">
        <v>1362</v>
      </c>
      <c r="D7" s="1" t="s">
        <v>1363</v>
      </c>
      <c r="E7" s="1" t="s">
        <v>1364</v>
      </c>
      <c r="F7" s="1" t="s">
        <v>1348</v>
      </c>
      <c r="G7" s="1" t="s">
        <v>1349</v>
      </c>
      <c r="H7" s="1" t="s">
        <v>1350</v>
      </c>
      <c r="I7" s="1" t="s">
        <v>1351</v>
      </c>
      <c r="J7" s="1" t="s">
        <v>1365</v>
      </c>
      <c r="K7">
        <v>1</v>
      </c>
      <c r="L7" s="1" t="s">
        <v>1352</v>
      </c>
      <c r="M7" s="1" t="s">
        <v>1353</v>
      </c>
    </row>
    <row r="8" spans="1:13" hidden="1" x14ac:dyDescent="0.35">
      <c r="A8" s="1" t="s">
        <v>1366</v>
      </c>
      <c r="B8" s="1" t="s">
        <v>1367</v>
      </c>
      <c r="C8" s="1" t="s">
        <v>1345</v>
      </c>
      <c r="D8" s="1" t="s">
        <v>1368</v>
      </c>
      <c r="E8" s="1" t="s">
        <v>1369</v>
      </c>
      <c r="F8" s="1" t="s">
        <v>1348</v>
      </c>
      <c r="G8" s="1" t="s">
        <v>1349</v>
      </c>
      <c r="H8" s="1" t="s">
        <v>1350</v>
      </c>
      <c r="I8" s="1" t="s">
        <v>1351</v>
      </c>
      <c r="J8" s="1" t="s">
        <v>1370</v>
      </c>
      <c r="K8">
        <v>1</v>
      </c>
      <c r="L8" s="1" t="s">
        <v>1352</v>
      </c>
      <c r="M8" s="1" t="s">
        <v>1353</v>
      </c>
    </row>
    <row r="9" spans="1:13" hidden="1" x14ac:dyDescent="0.35">
      <c r="A9" s="1" t="s">
        <v>1371</v>
      </c>
      <c r="B9" s="1" t="s">
        <v>1372</v>
      </c>
      <c r="C9" s="1" t="s">
        <v>1373</v>
      </c>
      <c r="D9" s="1" t="s">
        <v>1374</v>
      </c>
      <c r="E9" s="1" t="s">
        <v>1375</v>
      </c>
      <c r="F9" s="1" t="s">
        <v>1325</v>
      </c>
      <c r="G9" s="1" t="s">
        <v>1326</v>
      </c>
      <c r="H9" s="1" t="s">
        <v>1327</v>
      </c>
      <c r="I9" s="1" t="s">
        <v>1325</v>
      </c>
      <c r="J9" s="1" t="s">
        <v>1328</v>
      </c>
      <c r="K9">
        <v>1</v>
      </c>
      <c r="L9" s="1" t="s">
        <v>1352</v>
      </c>
      <c r="M9" s="1" t="s">
        <v>1376</v>
      </c>
    </row>
    <row r="10" spans="1:13" hidden="1" x14ac:dyDescent="0.35">
      <c r="A10" s="1" t="s">
        <v>1377</v>
      </c>
      <c r="B10" s="1" t="s">
        <v>1378</v>
      </c>
      <c r="C10" s="1" t="s">
        <v>1379</v>
      </c>
      <c r="D10" s="1" t="s">
        <v>1380</v>
      </c>
      <c r="E10" s="1" t="s">
        <v>1381</v>
      </c>
      <c r="F10" s="1" t="s">
        <v>1325</v>
      </c>
      <c r="G10" s="1" t="s">
        <v>1326</v>
      </c>
      <c r="H10" s="1" t="s">
        <v>1327</v>
      </c>
      <c r="I10" s="1" t="s">
        <v>1325</v>
      </c>
      <c r="J10" s="1" t="s">
        <v>1328</v>
      </c>
      <c r="K10">
        <v>1</v>
      </c>
      <c r="L10" s="1" t="s">
        <v>1352</v>
      </c>
      <c r="M10" s="1" t="s">
        <v>1376</v>
      </c>
    </row>
    <row r="11" spans="1:13" hidden="1" x14ac:dyDescent="0.35">
      <c r="A11" s="1" t="s">
        <v>1382</v>
      </c>
      <c r="B11" s="1" t="s">
        <v>1383</v>
      </c>
      <c r="C11" s="1" t="s">
        <v>1384</v>
      </c>
      <c r="D11" s="1" t="s">
        <v>1385</v>
      </c>
      <c r="E11" s="1" t="s">
        <v>1386</v>
      </c>
      <c r="F11" s="1" t="s">
        <v>1325</v>
      </c>
      <c r="G11" s="1" t="s">
        <v>1326</v>
      </c>
      <c r="H11" s="1" t="s">
        <v>1327</v>
      </c>
      <c r="I11" s="1" t="s">
        <v>1325</v>
      </c>
      <c r="J11" s="1" t="s">
        <v>1328</v>
      </c>
      <c r="K11">
        <v>1</v>
      </c>
      <c r="L11" s="1" t="s">
        <v>1352</v>
      </c>
      <c r="M11" s="1" t="s">
        <v>1376</v>
      </c>
    </row>
    <row r="12" spans="1:13" hidden="1" x14ac:dyDescent="0.35">
      <c r="A12" s="1" t="s">
        <v>1387</v>
      </c>
      <c r="B12" s="1" t="s">
        <v>1388</v>
      </c>
      <c r="C12" s="1" t="s">
        <v>1389</v>
      </c>
      <c r="D12" s="1" t="s">
        <v>1390</v>
      </c>
      <c r="E12" s="1" t="s">
        <v>1391</v>
      </c>
      <c r="F12" s="1" t="s">
        <v>1325</v>
      </c>
      <c r="G12" s="1" t="s">
        <v>1326</v>
      </c>
      <c r="H12" s="1" t="s">
        <v>1327</v>
      </c>
      <c r="I12" s="1" t="s">
        <v>1325</v>
      </c>
      <c r="J12" s="1" t="s">
        <v>1336</v>
      </c>
      <c r="K12">
        <v>1</v>
      </c>
      <c r="L12" s="1" t="s">
        <v>1352</v>
      </c>
      <c r="M12" s="1" t="s">
        <v>1376</v>
      </c>
    </row>
    <row r="13" spans="1:13" hidden="1" x14ac:dyDescent="0.35">
      <c r="A13" s="1" t="s">
        <v>1392</v>
      </c>
      <c r="B13" s="1" t="s">
        <v>1393</v>
      </c>
      <c r="C13" s="1" t="s">
        <v>1394</v>
      </c>
      <c r="D13" s="1" t="s">
        <v>1395</v>
      </c>
      <c r="E13" s="1" t="s">
        <v>1396</v>
      </c>
      <c r="F13" s="1" t="s">
        <v>1325</v>
      </c>
      <c r="G13" s="1" t="s">
        <v>1326</v>
      </c>
      <c r="H13" s="1" t="s">
        <v>1327</v>
      </c>
      <c r="I13" s="1" t="s">
        <v>1325</v>
      </c>
      <c r="J13" s="1" t="s">
        <v>1336</v>
      </c>
      <c r="K13">
        <v>1</v>
      </c>
      <c r="L13" s="1" t="s">
        <v>1352</v>
      </c>
      <c r="M13" s="1" t="s">
        <v>1376</v>
      </c>
    </row>
    <row r="14" spans="1:13" hidden="1" x14ac:dyDescent="0.35">
      <c r="A14" s="1" t="s">
        <v>1397</v>
      </c>
      <c r="B14" s="1" t="s">
        <v>1398</v>
      </c>
      <c r="C14" s="1" t="s">
        <v>1399</v>
      </c>
      <c r="D14" s="1" t="s">
        <v>1400</v>
      </c>
      <c r="E14" s="1" t="s">
        <v>1401</v>
      </c>
      <c r="F14" s="1" t="s">
        <v>1325</v>
      </c>
      <c r="G14" s="1" t="s">
        <v>1326</v>
      </c>
      <c r="H14" s="1" t="s">
        <v>1327</v>
      </c>
      <c r="I14" s="1" t="s">
        <v>1325</v>
      </c>
      <c r="J14" s="1" t="s">
        <v>1336</v>
      </c>
      <c r="K14">
        <v>1</v>
      </c>
      <c r="L14" s="1" t="s">
        <v>1352</v>
      </c>
      <c r="M14" s="1" t="s">
        <v>1376</v>
      </c>
    </row>
    <row r="15" spans="1:13" hidden="1" x14ac:dyDescent="0.35">
      <c r="A15" s="1" t="s">
        <v>1402</v>
      </c>
      <c r="B15" s="1" t="s">
        <v>1403</v>
      </c>
      <c r="C15" s="1" t="s">
        <v>1404</v>
      </c>
      <c r="D15" s="1" t="s">
        <v>1405</v>
      </c>
      <c r="E15" s="1" t="s">
        <v>1406</v>
      </c>
      <c r="F15" s="1" t="s">
        <v>1325</v>
      </c>
      <c r="G15" s="1" t="s">
        <v>1326</v>
      </c>
      <c r="H15" s="1" t="s">
        <v>1327</v>
      </c>
      <c r="I15" s="1" t="s">
        <v>1325</v>
      </c>
      <c r="J15" s="1" t="s">
        <v>1365</v>
      </c>
      <c r="K15">
        <v>1</v>
      </c>
      <c r="L15" s="1" t="s">
        <v>1352</v>
      </c>
      <c r="M15" s="1" t="s">
        <v>1376</v>
      </c>
    </row>
    <row r="16" spans="1:13" hidden="1" x14ac:dyDescent="0.35">
      <c r="A16" s="1" t="s">
        <v>1407</v>
      </c>
      <c r="B16" s="1" t="s">
        <v>1408</v>
      </c>
      <c r="C16" s="1" t="s">
        <v>1409</v>
      </c>
      <c r="D16" s="1" t="s">
        <v>1410</v>
      </c>
      <c r="E16" s="1" t="s">
        <v>1411</v>
      </c>
      <c r="F16" s="1" t="s">
        <v>1325</v>
      </c>
      <c r="G16" s="1" t="s">
        <v>1326</v>
      </c>
      <c r="H16" s="1" t="s">
        <v>1327</v>
      </c>
      <c r="I16" s="1" t="s">
        <v>1325</v>
      </c>
      <c r="J16" s="1" t="s">
        <v>1365</v>
      </c>
      <c r="K16">
        <v>1</v>
      </c>
      <c r="L16" s="1" t="s">
        <v>1352</v>
      </c>
      <c r="M16" s="1" t="s">
        <v>1376</v>
      </c>
    </row>
    <row r="17" spans="1:13" hidden="1" x14ac:dyDescent="0.35">
      <c r="A17" s="1" t="s">
        <v>1412</v>
      </c>
      <c r="B17" s="1" t="s">
        <v>1413</v>
      </c>
      <c r="C17" s="1" t="s">
        <v>1414</v>
      </c>
      <c r="D17" s="1" t="s">
        <v>1415</v>
      </c>
      <c r="E17" s="1" t="s">
        <v>1416</v>
      </c>
      <c r="F17" s="1" t="s">
        <v>1325</v>
      </c>
      <c r="G17" s="1" t="s">
        <v>1326</v>
      </c>
      <c r="H17" s="1" t="s">
        <v>1327</v>
      </c>
      <c r="I17" s="1" t="s">
        <v>1325</v>
      </c>
      <c r="J17" s="1" t="s">
        <v>1370</v>
      </c>
      <c r="K17">
        <v>1</v>
      </c>
      <c r="L17" s="1" t="s">
        <v>1352</v>
      </c>
      <c r="M17" s="1" t="s">
        <v>1376</v>
      </c>
    </row>
    <row r="18" spans="1:13" hidden="1" x14ac:dyDescent="0.35">
      <c r="A18" s="1" t="s">
        <v>1417</v>
      </c>
      <c r="B18" s="1" t="s">
        <v>1418</v>
      </c>
      <c r="C18" s="1" t="s">
        <v>1419</v>
      </c>
      <c r="D18" s="1" t="s">
        <v>1420</v>
      </c>
      <c r="E18" s="1" t="s">
        <v>1421</v>
      </c>
      <c r="F18" s="1" t="s">
        <v>1325</v>
      </c>
      <c r="G18" s="1" t="s">
        <v>1326</v>
      </c>
      <c r="H18" s="1" t="s">
        <v>1327</v>
      </c>
      <c r="I18" s="1" t="s">
        <v>1325</v>
      </c>
      <c r="J18" s="1" t="s">
        <v>1370</v>
      </c>
      <c r="K18">
        <v>1</v>
      </c>
      <c r="L18" s="1" t="s">
        <v>1352</v>
      </c>
      <c r="M18" s="1" t="s">
        <v>1376</v>
      </c>
    </row>
    <row r="19" spans="1:13" x14ac:dyDescent="0.35">
      <c r="A19" s="1" t="s">
        <v>1422</v>
      </c>
      <c r="B19" s="1" t="s">
        <v>1423</v>
      </c>
      <c r="C19" s="1" t="s">
        <v>1424</v>
      </c>
      <c r="D19" s="1" t="s">
        <v>1425</v>
      </c>
      <c r="E19" s="1" t="s">
        <v>1426</v>
      </c>
      <c r="F19" s="1" t="s">
        <v>1325</v>
      </c>
      <c r="G19" s="1" t="s">
        <v>1326</v>
      </c>
      <c r="H19" s="1" t="s">
        <v>1327</v>
      </c>
      <c r="I19" s="1" t="s">
        <v>1325</v>
      </c>
      <c r="J19" s="1" t="s">
        <v>1342</v>
      </c>
      <c r="K19">
        <v>1</v>
      </c>
      <c r="L19" s="1" t="s">
        <v>1352</v>
      </c>
      <c r="M19" s="1" t="s">
        <v>1376</v>
      </c>
    </row>
    <row r="20" spans="1:13" x14ac:dyDescent="0.35">
      <c r="A20" s="1" t="s">
        <v>1427</v>
      </c>
      <c r="B20" s="1" t="s">
        <v>1428</v>
      </c>
      <c r="C20" s="1" t="s">
        <v>1429</v>
      </c>
      <c r="D20" s="1" t="s">
        <v>1430</v>
      </c>
      <c r="E20" s="1" t="s">
        <v>1431</v>
      </c>
      <c r="F20" s="1" t="s">
        <v>1325</v>
      </c>
      <c r="G20" s="1" t="s">
        <v>1326</v>
      </c>
      <c r="H20" s="1" t="s">
        <v>1327</v>
      </c>
      <c r="I20" s="1" t="s">
        <v>1325</v>
      </c>
      <c r="J20" s="1" t="s">
        <v>1342</v>
      </c>
      <c r="K20">
        <v>1</v>
      </c>
      <c r="L20" s="1" t="s">
        <v>1352</v>
      </c>
      <c r="M20" s="1" t="s">
        <v>1376</v>
      </c>
    </row>
    <row r="21" spans="1:13" x14ac:dyDescent="0.35">
      <c r="A21" s="1" t="s">
        <v>1432</v>
      </c>
      <c r="B21" s="1" t="s">
        <v>1433</v>
      </c>
      <c r="C21" s="1" t="s">
        <v>1434</v>
      </c>
      <c r="D21" s="1" t="s">
        <v>1435</v>
      </c>
      <c r="E21" s="1" t="s">
        <v>1436</v>
      </c>
      <c r="F21" s="1" t="s">
        <v>1325</v>
      </c>
      <c r="G21" s="1" t="s">
        <v>1326</v>
      </c>
      <c r="H21" s="1" t="s">
        <v>1327</v>
      </c>
      <c r="I21" s="1" t="s">
        <v>1325</v>
      </c>
      <c r="J21" s="1" t="s">
        <v>1342</v>
      </c>
      <c r="K21">
        <v>1</v>
      </c>
      <c r="L21" s="1" t="s">
        <v>1352</v>
      </c>
      <c r="M21" s="1" t="s">
        <v>1376</v>
      </c>
    </row>
    <row r="22" spans="1:13" hidden="1" x14ac:dyDescent="0.35">
      <c r="A22" s="1" t="s">
        <v>1437</v>
      </c>
      <c r="B22" s="1" t="s">
        <v>1438</v>
      </c>
      <c r="C22" s="1" t="s">
        <v>1439</v>
      </c>
      <c r="D22" s="1" t="s">
        <v>1440</v>
      </c>
      <c r="E22" s="1" t="s">
        <v>1441</v>
      </c>
      <c r="F22" s="1" t="s">
        <v>1325</v>
      </c>
      <c r="G22" s="1" t="s">
        <v>1326</v>
      </c>
      <c r="H22" s="1" t="s">
        <v>1327</v>
      </c>
      <c r="I22" s="1" t="s">
        <v>1325</v>
      </c>
      <c r="J22" s="1" t="s">
        <v>1328</v>
      </c>
      <c r="K22">
        <v>1</v>
      </c>
      <c r="L22" s="1" t="s">
        <v>1352</v>
      </c>
      <c r="M22" s="1" t="s">
        <v>1442</v>
      </c>
    </row>
    <row r="23" spans="1:13" hidden="1" x14ac:dyDescent="0.35">
      <c r="A23" s="1" t="s">
        <v>1443</v>
      </c>
      <c r="B23" s="1" t="s">
        <v>1444</v>
      </c>
      <c r="C23" s="1" t="s">
        <v>1445</v>
      </c>
      <c r="D23" s="1" t="s">
        <v>1446</v>
      </c>
      <c r="E23" s="1" t="s">
        <v>1447</v>
      </c>
      <c r="F23" s="1" t="s">
        <v>1325</v>
      </c>
      <c r="G23" s="1" t="s">
        <v>1326</v>
      </c>
      <c r="H23" s="1" t="s">
        <v>1327</v>
      </c>
      <c r="I23" s="1" t="s">
        <v>1325</v>
      </c>
      <c r="J23" s="1" t="s">
        <v>1328</v>
      </c>
      <c r="K23">
        <v>1</v>
      </c>
      <c r="L23" s="1" t="s">
        <v>1352</v>
      </c>
      <c r="M23" s="1" t="s">
        <v>1442</v>
      </c>
    </row>
    <row r="24" spans="1:13" hidden="1" x14ac:dyDescent="0.35">
      <c r="A24" s="1" t="s">
        <v>1448</v>
      </c>
      <c r="B24" s="1" t="s">
        <v>1449</v>
      </c>
      <c r="C24" s="1" t="s">
        <v>1450</v>
      </c>
      <c r="D24" s="1" t="s">
        <v>1451</v>
      </c>
      <c r="E24" s="1" t="s">
        <v>1452</v>
      </c>
      <c r="F24" s="1" t="s">
        <v>1325</v>
      </c>
      <c r="G24" s="1" t="s">
        <v>1326</v>
      </c>
      <c r="H24" s="1" t="s">
        <v>1327</v>
      </c>
      <c r="I24" s="1" t="s">
        <v>1325</v>
      </c>
      <c r="J24" s="1" t="s">
        <v>1328</v>
      </c>
      <c r="K24">
        <v>1</v>
      </c>
      <c r="L24" s="1" t="s">
        <v>1352</v>
      </c>
      <c r="M24" s="1" t="s">
        <v>1442</v>
      </c>
    </row>
    <row r="25" spans="1:13" hidden="1" x14ac:dyDescent="0.35">
      <c r="A25" s="1" t="s">
        <v>1453</v>
      </c>
      <c r="B25" s="1" t="s">
        <v>1454</v>
      </c>
      <c r="C25" s="1" t="s">
        <v>1455</v>
      </c>
      <c r="D25" s="1" t="s">
        <v>1456</v>
      </c>
      <c r="E25" s="1" t="s">
        <v>1457</v>
      </c>
      <c r="F25" s="1" t="s">
        <v>1325</v>
      </c>
      <c r="G25" s="1" t="s">
        <v>1326</v>
      </c>
      <c r="H25" s="1" t="s">
        <v>1327</v>
      </c>
      <c r="I25" s="1" t="s">
        <v>1325</v>
      </c>
      <c r="J25" s="1" t="s">
        <v>1336</v>
      </c>
      <c r="K25">
        <v>1</v>
      </c>
      <c r="L25" s="1" t="s">
        <v>1352</v>
      </c>
      <c r="M25" s="1" t="s">
        <v>1442</v>
      </c>
    </row>
    <row r="26" spans="1:13" hidden="1" x14ac:dyDescent="0.35">
      <c r="A26" s="1" t="s">
        <v>1458</v>
      </c>
      <c r="B26" s="1" t="s">
        <v>1459</v>
      </c>
      <c r="C26" s="1" t="s">
        <v>1460</v>
      </c>
      <c r="D26" s="1" t="s">
        <v>1461</v>
      </c>
      <c r="E26" s="1" t="s">
        <v>1462</v>
      </c>
      <c r="F26" s="1" t="s">
        <v>1325</v>
      </c>
      <c r="G26" s="1" t="s">
        <v>1326</v>
      </c>
      <c r="H26" s="1" t="s">
        <v>1327</v>
      </c>
      <c r="I26" s="1" t="s">
        <v>1325</v>
      </c>
      <c r="J26" s="1" t="s">
        <v>1336</v>
      </c>
      <c r="K26">
        <v>1</v>
      </c>
      <c r="L26" s="1" t="s">
        <v>1352</v>
      </c>
      <c r="M26" s="1" t="s">
        <v>1442</v>
      </c>
    </row>
    <row r="27" spans="1:13" hidden="1" x14ac:dyDescent="0.35">
      <c r="A27" s="1" t="s">
        <v>1463</v>
      </c>
      <c r="B27" s="1" t="s">
        <v>1464</v>
      </c>
      <c r="C27" s="1" t="s">
        <v>1465</v>
      </c>
      <c r="D27" s="1" t="s">
        <v>1466</v>
      </c>
      <c r="E27" s="1" t="s">
        <v>1467</v>
      </c>
      <c r="F27" s="1" t="s">
        <v>1325</v>
      </c>
      <c r="G27" s="1" t="s">
        <v>1326</v>
      </c>
      <c r="H27" s="1" t="s">
        <v>1327</v>
      </c>
      <c r="I27" s="1" t="s">
        <v>1325</v>
      </c>
      <c r="J27" s="1" t="s">
        <v>1336</v>
      </c>
      <c r="K27">
        <v>1</v>
      </c>
      <c r="L27" s="1" t="s">
        <v>1352</v>
      </c>
      <c r="M27" s="1" t="s">
        <v>1442</v>
      </c>
    </row>
    <row r="28" spans="1:13" hidden="1" x14ac:dyDescent="0.35">
      <c r="A28" s="1" t="s">
        <v>1468</v>
      </c>
      <c r="B28" s="1" t="s">
        <v>1469</v>
      </c>
      <c r="C28" s="1" t="s">
        <v>1470</v>
      </c>
      <c r="D28" s="1" t="s">
        <v>1471</v>
      </c>
      <c r="E28" s="1" t="s">
        <v>1472</v>
      </c>
      <c r="F28" s="1" t="s">
        <v>1325</v>
      </c>
      <c r="G28" s="1" t="s">
        <v>1326</v>
      </c>
      <c r="H28" s="1" t="s">
        <v>1327</v>
      </c>
      <c r="I28" s="1" t="s">
        <v>1325</v>
      </c>
      <c r="J28" s="1" t="s">
        <v>1365</v>
      </c>
      <c r="K28">
        <v>1</v>
      </c>
      <c r="L28" s="1" t="s">
        <v>1352</v>
      </c>
      <c r="M28" s="1" t="s">
        <v>1442</v>
      </c>
    </row>
    <row r="29" spans="1:13" hidden="1" x14ac:dyDescent="0.35">
      <c r="A29" s="1" t="s">
        <v>1473</v>
      </c>
      <c r="B29" s="1" t="s">
        <v>1474</v>
      </c>
      <c r="C29" s="1" t="s">
        <v>1475</v>
      </c>
      <c r="D29" s="1" t="s">
        <v>1476</v>
      </c>
      <c r="E29" s="1" t="s">
        <v>1477</v>
      </c>
      <c r="F29" s="1" t="s">
        <v>1325</v>
      </c>
      <c r="G29" s="1" t="s">
        <v>1326</v>
      </c>
      <c r="H29" s="1" t="s">
        <v>1327</v>
      </c>
      <c r="I29" s="1" t="s">
        <v>1325</v>
      </c>
      <c r="J29" s="1" t="s">
        <v>1365</v>
      </c>
      <c r="K29">
        <v>1</v>
      </c>
      <c r="L29" s="1" t="s">
        <v>1352</v>
      </c>
      <c r="M29" s="1" t="s">
        <v>1442</v>
      </c>
    </row>
    <row r="30" spans="1:13" hidden="1" x14ac:dyDescent="0.35">
      <c r="A30" s="1" t="s">
        <v>1478</v>
      </c>
      <c r="B30" s="1" t="s">
        <v>1479</v>
      </c>
      <c r="C30" s="1" t="s">
        <v>1480</v>
      </c>
      <c r="D30" s="1" t="s">
        <v>1481</v>
      </c>
      <c r="E30" s="1" t="s">
        <v>1482</v>
      </c>
      <c r="F30" s="1" t="s">
        <v>1325</v>
      </c>
      <c r="G30" s="1" t="s">
        <v>1326</v>
      </c>
      <c r="H30" s="1" t="s">
        <v>1327</v>
      </c>
      <c r="I30" s="1" t="s">
        <v>1325</v>
      </c>
      <c r="J30" s="1" t="s">
        <v>1370</v>
      </c>
      <c r="K30">
        <v>1</v>
      </c>
      <c r="L30" s="1" t="s">
        <v>1352</v>
      </c>
      <c r="M30" s="1" t="s">
        <v>1442</v>
      </c>
    </row>
    <row r="31" spans="1:13" hidden="1" x14ac:dyDescent="0.35">
      <c r="A31" s="1" t="s">
        <v>1483</v>
      </c>
      <c r="B31" s="1" t="s">
        <v>1484</v>
      </c>
      <c r="C31" s="1" t="s">
        <v>1485</v>
      </c>
      <c r="D31" s="1" t="s">
        <v>1486</v>
      </c>
      <c r="E31" s="1" t="s">
        <v>1487</v>
      </c>
      <c r="F31" s="1" t="s">
        <v>1325</v>
      </c>
      <c r="G31" s="1" t="s">
        <v>1326</v>
      </c>
      <c r="H31" s="1" t="s">
        <v>1327</v>
      </c>
      <c r="I31" s="1" t="s">
        <v>1325</v>
      </c>
      <c r="J31" s="1" t="s">
        <v>1370</v>
      </c>
      <c r="K31">
        <v>1</v>
      </c>
      <c r="L31" s="1" t="s">
        <v>1352</v>
      </c>
      <c r="M31" s="1" t="s">
        <v>1442</v>
      </c>
    </row>
    <row r="32" spans="1:13" x14ac:dyDescent="0.35">
      <c r="A32" s="1" t="s">
        <v>1488</v>
      </c>
      <c r="B32" s="1" t="s">
        <v>1489</v>
      </c>
      <c r="C32" s="1" t="s">
        <v>1490</v>
      </c>
      <c r="D32" s="1" t="s">
        <v>1491</v>
      </c>
      <c r="E32" s="1" t="s">
        <v>1492</v>
      </c>
      <c r="F32" s="1" t="s">
        <v>1325</v>
      </c>
      <c r="G32" s="1" t="s">
        <v>1326</v>
      </c>
      <c r="H32" s="1" t="s">
        <v>1327</v>
      </c>
      <c r="I32" s="1" t="s">
        <v>1325</v>
      </c>
      <c r="J32" s="1" t="s">
        <v>1342</v>
      </c>
      <c r="K32">
        <v>1</v>
      </c>
      <c r="L32" s="1" t="s">
        <v>1352</v>
      </c>
      <c r="M32" s="1" t="s">
        <v>1442</v>
      </c>
    </row>
    <row r="33" spans="1:13" x14ac:dyDescent="0.35">
      <c r="A33" s="1" t="s">
        <v>1493</v>
      </c>
      <c r="B33" s="1" t="s">
        <v>1494</v>
      </c>
      <c r="C33" s="1" t="s">
        <v>1495</v>
      </c>
      <c r="D33" s="1" t="s">
        <v>1496</v>
      </c>
      <c r="E33" s="1" t="s">
        <v>1497</v>
      </c>
      <c r="F33" s="1" t="s">
        <v>1325</v>
      </c>
      <c r="G33" s="1" t="s">
        <v>1326</v>
      </c>
      <c r="H33" s="1" t="s">
        <v>1327</v>
      </c>
      <c r="I33" s="1" t="s">
        <v>1325</v>
      </c>
      <c r="J33" s="1" t="s">
        <v>1342</v>
      </c>
      <c r="K33">
        <v>1</v>
      </c>
      <c r="L33" s="1" t="s">
        <v>1352</v>
      </c>
      <c r="M33" s="1" t="s">
        <v>1442</v>
      </c>
    </row>
    <row r="34" spans="1:13" x14ac:dyDescent="0.35">
      <c r="A34" s="1" t="s">
        <v>1498</v>
      </c>
      <c r="B34" s="1" t="s">
        <v>1499</v>
      </c>
      <c r="C34" s="1" t="s">
        <v>1500</v>
      </c>
      <c r="D34" s="1" t="s">
        <v>1501</v>
      </c>
      <c r="E34" s="1" t="s">
        <v>1502</v>
      </c>
      <c r="F34" s="1" t="s">
        <v>1325</v>
      </c>
      <c r="G34" s="1" t="s">
        <v>1326</v>
      </c>
      <c r="H34" s="1" t="s">
        <v>1327</v>
      </c>
      <c r="I34" s="1" t="s">
        <v>1325</v>
      </c>
      <c r="J34" s="1" t="s">
        <v>1342</v>
      </c>
      <c r="K34">
        <v>1</v>
      </c>
      <c r="L34" s="1" t="s">
        <v>1352</v>
      </c>
      <c r="M34" s="1" t="s">
        <v>1442</v>
      </c>
    </row>
    <row r="35" spans="1:13" hidden="1" x14ac:dyDescent="0.35">
      <c r="A35" s="1" t="s">
        <v>1503</v>
      </c>
      <c r="B35" s="1" t="s">
        <v>1504</v>
      </c>
      <c r="C35" s="1" t="s">
        <v>1505</v>
      </c>
      <c r="D35" s="1" t="s">
        <v>1506</v>
      </c>
      <c r="E35" s="1" t="s">
        <v>1507</v>
      </c>
      <c r="F35" s="1" t="s">
        <v>1325</v>
      </c>
      <c r="G35" s="1" t="s">
        <v>1326</v>
      </c>
      <c r="H35" s="1" t="s">
        <v>1327</v>
      </c>
      <c r="I35" s="1" t="s">
        <v>1325</v>
      </c>
      <c r="J35" s="1" t="s">
        <v>1336</v>
      </c>
      <c r="K35">
        <v>1</v>
      </c>
      <c r="L35" s="1" t="s">
        <v>1352</v>
      </c>
      <c r="M35" s="1" t="s">
        <v>1376</v>
      </c>
    </row>
    <row r="36" spans="1:13" x14ac:dyDescent="0.35">
      <c r="A36" s="1" t="s">
        <v>1508</v>
      </c>
      <c r="B36" s="1" t="s">
        <v>1509</v>
      </c>
      <c r="C36" s="1" t="s">
        <v>1510</v>
      </c>
      <c r="D36" s="1" t="s">
        <v>1511</v>
      </c>
      <c r="E36" s="1" t="s">
        <v>1512</v>
      </c>
      <c r="F36" s="1" t="s">
        <v>1325</v>
      </c>
      <c r="G36" s="1" t="s">
        <v>1326</v>
      </c>
      <c r="H36" s="1" t="s">
        <v>1327</v>
      </c>
      <c r="I36" s="1" t="s">
        <v>1325</v>
      </c>
      <c r="J36" s="1" t="s">
        <v>1342</v>
      </c>
      <c r="K36">
        <v>1</v>
      </c>
      <c r="L36" s="1" t="s">
        <v>1352</v>
      </c>
      <c r="M36" s="1" t="s">
        <v>1376</v>
      </c>
    </row>
    <row r="37" spans="1:13" hidden="1" x14ac:dyDescent="0.35">
      <c r="A37" s="1" t="s">
        <v>1513</v>
      </c>
      <c r="B37" s="1" t="s">
        <v>1514</v>
      </c>
      <c r="C37" s="1" t="s">
        <v>1515</v>
      </c>
      <c r="D37" s="1" t="s">
        <v>1516</v>
      </c>
      <c r="E37" s="1" t="s">
        <v>1517</v>
      </c>
      <c r="F37" s="1" t="s">
        <v>1518</v>
      </c>
      <c r="G37" s="1" t="s">
        <v>1519</v>
      </c>
      <c r="H37" s="1" t="s">
        <v>1520</v>
      </c>
      <c r="I37" s="1" t="s">
        <v>1521</v>
      </c>
      <c r="J37" s="1" t="s">
        <v>1328</v>
      </c>
      <c r="K37">
        <v>0</v>
      </c>
      <c r="L37" s="1" t="s">
        <v>1329</v>
      </c>
      <c r="M37" s="1" t="s">
        <v>1522</v>
      </c>
    </row>
    <row r="38" spans="1:13" hidden="1" x14ac:dyDescent="0.35">
      <c r="A38" s="1" t="s">
        <v>1523</v>
      </c>
      <c r="B38" s="1" t="s">
        <v>1524</v>
      </c>
      <c r="C38" s="1" t="s">
        <v>1525</v>
      </c>
      <c r="D38" s="1" t="s">
        <v>1526</v>
      </c>
      <c r="E38" s="1" t="s">
        <v>1527</v>
      </c>
      <c r="F38" s="1" t="s">
        <v>1518</v>
      </c>
      <c r="G38" s="1" t="s">
        <v>1519</v>
      </c>
      <c r="H38" s="1" t="s">
        <v>1520</v>
      </c>
      <c r="I38" s="1" t="s">
        <v>1521</v>
      </c>
      <c r="J38" s="1" t="s">
        <v>1336</v>
      </c>
      <c r="K38">
        <v>0</v>
      </c>
      <c r="L38" s="1" t="s">
        <v>1329</v>
      </c>
      <c r="M38" s="1" t="s">
        <v>1522</v>
      </c>
    </row>
    <row r="39" spans="1:13" hidden="1" x14ac:dyDescent="0.35">
      <c r="A39" s="1" t="s">
        <v>1528</v>
      </c>
      <c r="B39" s="1" t="s">
        <v>1529</v>
      </c>
      <c r="C39" s="1" t="s">
        <v>1530</v>
      </c>
      <c r="D39" s="1" t="s">
        <v>1531</v>
      </c>
      <c r="E39" s="1" t="s">
        <v>1532</v>
      </c>
      <c r="F39" s="1" t="s">
        <v>1518</v>
      </c>
      <c r="G39" s="1" t="s">
        <v>1519</v>
      </c>
      <c r="H39" s="1" t="s">
        <v>1520</v>
      </c>
      <c r="I39" s="1" t="s">
        <v>1521</v>
      </c>
      <c r="J39" s="1" t="s">
        <v>1365</v>
      </c>
      <c r="K39">
        <v>0</v>
      </c>
      <c r="L39" s="1" t="s">
        <v>1329</v>
      </c>
      <c r="M39" s="1" t="s">
        <v>1522</v>
      </c>
    </row>
    <row r="40" spans="1:13" hidden="1" x14ac:dyDescent="0.35">
      <c r="A40" s="1" t="s">
        <v>1533</v>
      </c>
      <c r="B40" s="1" t="s">
        <v>1534</v>
      </c>
      <c r="C40" s="1" t="s">
        <v>1535</v>
      </c>
      <c r="D40" s="1" t="s">
        <v>1536</v>
      </c>
      <c r="E40" s="1" t="s">
        <v>1537</v>
      </c>
      <c r="F40" s="1" t="s">
        <v>1518</v>
      </c>
      <c r="G40" s="1" t="s">
        <v>1519</v>
      </c>
      <c r="H40" s="1" t="s">
        <v>1520</v>
      </c>
      <c r="I40" s="1" t="s">
        <v>1521</v>
      </c>
      <c r="J40" s="1" t="s">
        <v>1370</v>
      </c>
      <c r="K40">
        <v>0</v>
      </c>
      <c r="L40" s="1" t="s">
        <v>1329</v>
      </c>
      <c r="M40" s="1" t="s">
        <v>1522</v>
      </c>
    </row>
    <row r="41" spans="1:13" x14ac:dyDescent="0.35">
      <c r="A41" s="1" t="s">
        <v>1538</v>
      </c>
      <c r="B41" s="1" t="s">
        <v>1539</v>
      </c>
      <c r="C41" s="1" t="s">
        <v>1540</v>
      </c>
      <c r="D41" s="1" t="s">
        <v>1541</v>
      </c>
      <c r="E41" s="1" t="s">
        <v>1542</v>
      </c>
      <c r="F41" s="1" t="s">
        <v>1518</v>
      </c>
      <c r="G41" s="1" t="s">
        <v>1519</v>
      </c>
      <c r="H41" s="1" t="s">
        <v>1520</v>
      </c>
      <c r="I41" s="1" t="s">
        <v>1521</v>
      </c>
      <c r="J41" s="1" t="s">
        <v>1342</v>
      </c>
      <c r="K41">
        <v>0</v>
      </c>
      <c r="L41" s="1" t="s">
        <v>1329</v>
      </c>
      <c r="M41" s="1" t="s">
        <v>1522</v>
      </c>
    </row>
    <row r="42" spans="1:13" hidden="1" x14ac:dyDescent="0.35">
      <c r="A42" s="1" t="s">
        <v>1543</v>
      </c>
      <c r="B42" s="1" t="s">
        <v>1544</v>
      </c>
      <c r="C42" s="1" t="s">
        <v>1545</v>
      </c>
      <c r="D42" s="1" t="s">
        <v>1546</v>
      </c>
      <c r="E42" s="1" t="s">
        <v>1547</v>
      </c>
      <c r="F42" s="1" t="s">
        <v>1548</v>
      </c>
      <c r="G42" s="1" t="s">
        <v>1549</v>
      </c>
      <c r="H42" s="1" t="s">
        <v>1550</v>
      </c>
      <c r="I42" s="1" t="s">
        <v>1551</v>
      </c>
      <c r="J42" s="1" t="s">
        <v>1328</v>
      </c>
      <c r="K42">
        <v>0</v>
      </c>
      <c r="L42" s="1" t="s">
        <v>1329</v>
      </c>
      <c r="M42" s="1" t="s">
        <v>1552</v>
      </c>
    </row>
    <row r="43" spans="1:13" hidden="1" x14ac:dyDescent="0.35">
      <c r="A43" s="1" t="s">
        <v>1553</v>
      </c>
      <c r="B43" s="1" t="s">
        <v>1554</v>
      </c>
      <c r="C43" s="1" t="s">
        <v>1555</v>
      </c>
      <c r="D43" s="1" t="s">
        <v>1556</v>
      </c>
      <c r="E43" s="1" t="s">
        <v>1557</v>
      </c>
      <c r="F43" s="1" t="s">
        <v>1548</v>
      </c>
      <c r="G43" s="1" t="s">
        <v>1549</v>
      </c>
      <c r="H43" s="1" t="s">
        <v>1550</v>
      </c>
      <c r="I43" s="1" t="s">
        <v>1551</v>
      </c>
      <c r="J43" s="1" t="s">
        <v>1336</v>
      </c>
      <c r="K43">
        <v>0</v>
      </c>
      <c r="L43" s="1" t="s">
        <v>1329</v>
      </c>
      <c r="M43" s="1" t="s">
        <v>1552</v>
      </c>
    </row>
    <row r="44" spans="1:13" x14ac:dyDescent="0.35">
      <c r="A44" s="1" t="s">
        <v>1558</v>
      </c>
      <c r="B44" s="1" t="s">
        <v>1559</v>
      </c>
      <c r="C44" s="1" t="s">
        <v>1560</v>
      </c>
      <c r="D44" s="1" t="s">
        <v>1561</v>
      </c>
      <c r="E44" s="1" t="s">
        <v>1562</v>
      </c>
      <c r="F44" s="1" t="s">
        <v>1548</v>
      </c>
      <c r="G44" s="1" t="s">
        <v>1549</v>
      </c>
      <c r="H44" s="1" t="s">
        <v>1550</v>
      </c>
      <c r="I44" s="1" t="s">
        <v>1551</v>
      </c>
      <c r="J44" s="1" t="s">
        <v>1342</v>
      </c>
      <c r="K44">
        <v>0</v>
      </c>
      <c r="L44" s="1" t="s">
        <v>1329</v>
      </c>
      <c r="M44" s="1" t="s">
        <v>1552</v>
      </c>
    </row>
    <row r="45" spans="1:13" hidden="1" x14ac:dyDescent="0.35">
      <c r="A45" s="1" t="s">
        <v>1563</v>
      </c>
      <c r="B45" s="1" t="s">
        <v>1564</v>
      </c>
      <c r="C45" s="1" t="s">
        <v>1565</v>
      </c>
      <c r="D45" s="1" t="s">
        <v>1566</v>
      </c>
      <c r="E45" s="1" t="s">
        <v>1567</v>
      </c>
      <c r="F45" s="1" t="s">
        <v>1518</v>
      </c>
      <c r="G45" s="1" t="s">
        <v>1519</v>
      </c>
      <c r="H45" s="1" t="s">
        <v>1520</v>
      </c>
      <c r="I45" s="1" t="s">
        <v>1521</v>
      </c>
      <c r="J45" s="1" t="s">
        <v>1328</v>
      </c>
      <c r="K45">
        <v>0</v>
      </c>
      <c r="L45" s="1" t="s">
        <v>1329</v>
      </c>
      <c r="M45" s="1" t="s">
        <v>1522</v>
      </c>
    </row>
    <row r="46" spans="1:13" hidden="1" x14ac:dyDescent="0.35">
      <c r="A46" s="1" t="s">
        <v>1568</v>
      </c>
      <c r="B46" s="1" t="s">
        <v>1569</v>
      </c>
      <c r="C46" s="1" t="s">
        <v>1570</v>
      </c>
      <c r="D46" s="1" t="s">
        <v>1571</v>
      </c>
      <c r="E46" s="1" t="s">
        <v>1572</v>
      </c>
      <c r="F46" s="1" t="s">
        <v>1518</v>
      </c>
      <c r="G46" s="1" t="s">
        <v>1519</v>
      </c>
      <c r="H46" s="1" t="s">
        <v>1520</v>
      </c>
      <c r="I46" s="1" t="s">
        <v>1521</v>
      </c>
      <c r="J46" s="1" t="s">
        <v>1336</v>
      </c>
      <c r="K46">
        <v>0</v>
      </c>
      <c r="L46" s="1" t="s">
        <v>1329</v>
      </c>
      <c r="M46" s="1" t="s">
        <v>1522</v>
      </c>
    </row>
    <row r="47" spans="1:13" x14ac:dyDescent="0.35">
      <c r="A47" s="1" t="s">
        <v>1573</v>
      </c>
      <c r="B47" s="1" t="s">
        <v>1574</v>
      </c>
      <c r="C47" s="1" t="s">
        <v>1575</v>
      </c>
      <c r="D47" s="1" t="s">
        <v>1576</v>
      </c>
      <c r="E47" s="1" t="s">
        <v>1577</v>
      </c>
      <c r="F47" s="1" t="s">
        <v>1518</v>
      </c>
      <c r="G47" s="1" t="s">
        <v>1519</v>
      </c>
      <c r="H47" s="1" t="s">
        <v>1520</v>
      </c>
      <c r="I47" s="1" t="s">
        <v>1521</v>
      </c>
      <c r="J47" s="1" t="s">
        <v>1342</v>
      </c>
      <c r="K47">
        <v>0</v>
      </c>
      <c r="L47" s="1" t="s">
        <v>1329</v>
      </c>
      <c r="M47" s="1" t="s">
        <v>1522</v>
      </c>
    </row>
    <row r="48" spans="1:13" hidden="1" x14ac:dyDescent="0.35">
      <c r="A48" s="1" t="s">
        <v>1578</v>
      </c>
      <c r="B48" s="1" t="s">
        <v>1579</v>
      </c>
      <c r="C48" s="1" t="s">
        <v>1580</v>
      </c>
      <c r="D48" s="1" t="s">
        <v>1581</v>
      </c>
      <c r="E48" s="1" t="s">
        <v>1582</v>
      </c>
      <c r="F48" s="1" t="s">
        <v>1518</v>
      </c>
      <c r="G48" s="1" t="s">
        <v>1519</v>
      </c>
      <c r="H48" s="1" t="s">
        <v>1520</v>
      </c>
      <c r="I48" s="1" t="s">
        <v>1521</v>
      </c>
      <c r="J48" s="1" t="s">
        <v>1328</v>
      </c>
      <c r="K48">
        <v>0</v>
      </c>
      <c r="L48" s="1" t="s">
        <v>1329</v>
      </c>
      <c r="M48" s="1" t="s">
        <v>1522</v>
      </c>
    </row>
    <row r="49" spans="1:13" hidden="1" x14ac:dyDescent="0.35">
      <c r="A49" s="1" t="s">
        <v>1583</v>
      </c>
      <c r="B49" s="1" t="s">
        <v>1584</v>
      </c>
      <c r="C49" s="1" t="s">
        <v>1585</v>
      </c>
      <c r="D49" s="1" t="s">
        <v>1586</v>
      </c>
      <c r="E49" s="1" t="s">
        <v>1587</v>
      </c>
      <c r="F49" s="1" t="s">
        <v>1518</v>
      </c>
      <c r="G49" s="1" t="s">
        <v>1519</v>
      </c>
      <c r="H49" s="1" t="s">
        <v>1520</v>
      </c>
      <c r="I49" s="1" t="s">
        <v>1521</v>
      </c>
      <c r="J49" s="1" t="s">
        <v>1336</v>
      </c>
      <c r="K49">
        <v>0</v>
      </c>
      <c r="L49" s="1" t="s">
        <v>1329</v>
      </c>
      <c r="M49" s="1" t="s">
        <v>1522</v>
      </c>
    </row>
    <row r="50" spans="1:13" hidden="1" x14ac:dyDescent="0.35">
      <c r="A50" s="1" t="s">
        <v>1588</v>
      </c>
      <c r="B50" s="1" t="s">
        <v>1589</v>
      </c>
      <c r="C50" s="1" t="s">
        <v>1590</v>
      </c>
      <c r="D50" s="1" t="s">
        <v>1591</v>
      </c>
      <c r="E50" s="1" t="s">
        <v>1592</v>
      </c>
      <c r="F50" s="1" t="s">
        <v>1518</v>
      </c>
      <c r="G50" s="1" t="s">
        <v>1519</v>
      </c>
      <c r="H50" s="1" t="s">
        <v>1520</v>
      </c>
      <c r="I50" s="1" t="s">
        <v>1521</v>
      </c>
      <c r="J50" s="1" t="s">
        <v>1365</v>
      </c>
      <c r="K50">
        <v>0</v>
      </c>
      <c r="L50" s="1" t="s">
        <v>1329</v>
      </c>
      <c r="M50" s="1" t="s">
        <v>1522</v>
      </c>
    </row>
    <row r="51" spans="1:13" hidden="1" x14ac:dyDescent="0.35">
      <c r="A51" s="1" t="s">
        <v>1593</v>
      </c>
      <c r="B51" s="1" t="s">
        <v>1594</v>
      </c>
      <c r="C51" s="1" t="s">
        <v>1595</v>
      </c>
      <c r="D51" s="1" t="s">
        <v>1596</v>
      </c>
      <c r="E51" s="1" t="s">
        <v>1597</v>
      </c>
      <c r="F51" s="1" t="s">
        <v>1518</v>
      </c>
      <c r="G51" s="1" t="s">
        <v>1519</v>
      </c>
      <c r="H51" s="1" t="s">
        <v>1520</v>
      </c>
      <c r="I51" s="1" t="s">
        <v>1521</v>
      </c>
      <c r="J51" s="1" t="s">
        <v>1370</v>
      </c>
      <c r="K51">
        <v>0</v>
      </c>
      <c r="L51" s="1" t="s">
        <v>1329</v>
      </c>
      <c r="M51" s="1" t="s">
        <v>1522</v>
      </c>
    </row>
    <row r="52" spans="1:13" x14ac:dyDescent="0.35">
      <c r="A52" s="1" t="s">
        <v>1598</v>
      </c>
      <c r="B52" s="1" t="s">
        <v>1599</v>
      </c>
      <c r="C52" s="1" t="s">
        <v>1600</v>
      </c>
      <c r="D52" s="1" t="s">
        <v>1601</v>
      </c>
      <c r="E52" s="1" t="s">
        <v>1602</v>
      </c>
      <c r="F52" s="1" t="s">
        <v>1518</v>
      </c>
      <c r="G52" s="1" t="s">
        <v>1519</v>
      </c>
      <c r="H52" s="1" t="s">
        <v>1520</v>
      </c>
      <c r="I52" s="1" t="s">
        <v>1521</v>
      </c>
      <c r="J52" s="1" t="s">
        <v>1342</v>
      </c>
      <c r="K52">
        <v>0</v>
      </c>
      <c r="L52" s="1" t="s">
        <v>1329</v>
      </c>
      <c r="M52" s="1" t="s">
        <v>1522</v>
      </c>
    </row>
    <row r="53" spans="1:13" hidden="1" x14ac:dyDescent="0.35">
      <c r="A53" s="1" t="s">
        <v>1603</v>
      </c>
      <c r="B53" s="1" t="s">
        <v>1604</v>
      </c>
      <c r="C53" s="1" t="s">
        <v>1605</v>
      </c>
      <c r="D53" s="1" t="s">
        <v>1606</v>
      </c>
      <c r="E53" s="1" t="s">
        <v>1607</v>
      </c>
      <c r="F53" s="1" t="s">
        <v>1518</v>
      </c>
      <c r="G53" s="1" t="s">
        <v>1519</v>
      </c>
      <c r="H53" s="1" t="s">
        <v>1520</v>
      </c>
      <c r="I53" s="1" t="s">
        <v>1521</v>
      </c>
      <c r="J53" s="1" t="s">
        <v>1328</v>
      </c>
      <c r="K53">
        <v>0</v>
      </c>
      <c r="L53" s="1" t="s">
        <v>1329</v>
      </c>
      <c r="M53" s="1" t="s">
        <v>1522</v>
      </c>
    </row>
    <row r="54" spans="1:13" hidden="1" x14ac:dyDescent="0.35">
      <c r="A54" s="1" t="s">
        <v>1608</v>
      </c>
      <c r="B54" s="1" t="s">
        <v>1609</v>
      </c>
      <c r="C54" s="1" t="s">
        <v>1610</v>
      </c>
      <c r="D54" s="1" t="s">
        <v>1611</v>
      </c>
      <c r="E54" s="1" t="s">
        <v>1612</v>
      </c>
      <c r="F54" s="1" t="s">
        <v>1518</v>
      </c>
      <c r="G54" s="1" t="s">
        <v>1519</v>
      </c>
      <c r="H54" s="1" t="s">
        <v>1520</v>
      </c>
      <c r="I54" s="1" t="s">
        <v>1521</v>
      </c>
      <c r="J54" s="1" t="s">
        <v>1336</v>
      </c>
      <c r="K54">
        <v>0</v>
      </c>
      <c r="L54" s="1" t="s">
        <v>1329</v>
      </c>
      <c r="M54" s="1" t="s">
        <v>1522</v>
      </c>
    </row>
    <row r="55" spans="1:13" hidden="1" x14ac:dyDescent="0.35">
      <c r="A55" s="1" t="s">
        <v>1613</v>
      </c>
      <c r="B55" s="1" t="s">
        <v>1614</v>
      </c>
      <c r="C55" s="1" t="s">
        <v>1615</v>
      </c>
      <c r="D55" s="1" t="s">
        <v>1616</v>
      </c>
      <c r="E55" s="1" t="s">
        <v>1617</v>
      </c>
      <c r="F55" s="1" t="s">
        <v>1518</v>
      </c>
      <c r="G55" s="1" t="s">
        <v>1519</v>
      </c>
      <c r="H55" s="1" t="s">
        <v>1520</v>
      </c>
      <c r="I55" s="1" t="s">
        <v>1521</v>
      </c>
      <c r="J55" s="1" t="s">
        <v>1365</v>
      </c>
      <c r="K55">
        <v>0</v>
      </c>
      <c r="L55" s="1" t="s">
        <v>1329</v>
      </c>
      <c r="M55" s="1" t="s">
        <v>1522</v>
      </c>
    </row>
    <row r="56" spans="1:13" hidden="1" x14ac:dyDescent="0.35">
      <c r="A56" s="1" t="s">
        <v>1618</v>
      </c>
      <c r="B56" s="1" t="s">
        <v>1619</v>
      </c>
      <c r="C56" s="1" t="s">
        <v>1620</v>
      </c>
      <c r="D56" s="1" t="s">
        <v>1621</v>
      </c>
      <c r="E56" s="1" t="s">
        <v>1622</v>
      </c>
      <c r="F56" s="1" t="s">
        <v>1518</v>
      </c>
      <c r="G56" s="1" t="s">
        <v>1519</v>
      </c>
      <c r="H56" s="1" t="s">
        <v>1520</v>
      </c>
      <c r="I56" s="1" t="s">
        <v>1521</v>
      </c>
      <c r="J56" s="1" t="s">
        <v>1370</v>
      </c>
      <c r="K56">
        <v>0</v>
      </c>
      <c r="L56" s="1" t="s">
        <v>1329</v>
      </c>
      <c r="M56" s="1" t="s">
        <v>1522</v>
      </c>
    </row>
    <row r="57" spans="1:13" x14ac:dyDescent="0.35">
      <c r="A57" s="1" t="s">
        <v>1623</v>
      </c>
      <c r="B57" s="1" t="s">
        <v>1624</v>
      </c>
      <c r="C57" s="1" t="s">
        <v>1625</v>
      </c>
      <c r="D57" s="1" t="s">
        <v>1626</v>
      </c>
      <c r="E57" s="1" t="s">
        <v>1627</v>
      </c>
      <c r="F57" s="1" t="s">
        <v>1518</v>
      </c>
      <c r="G57" s="1" t="s">
        <v>1519</v>
      </c>
      <c r="H57" s="1" t="s">
        <v>1520</v>
      </c>
      <c r="I57" s="1" t="s">
        <v>1521</v>
      </c>
      <c r="J57" s="1" t="s">
        <v>1342</v>
      </c>
      <c r="K57">
        <v>0</v>
      </c>
      <c r="L57" s="1" t="s">
        <v>1329</v>
      </c>
      <c r="M57" s="1" t="s">
        <v>1522</v>
      </c>
    </row>
    <row r="58" spans="1:13" hidden="1" x14ac:dyDescent="0.35">
      <c r="A58" s="1" t="s">
        <v>1628</v>
      </c>
      <c r="B58" s="1" t="s">
        <v>1629</v>
      </c>
      <c r="C58" s="1" t="s">
        <v>1630</v>
      </c>
      <c r="D58" s="1" t="s">
        <v>1631</v>
      </c>
      <c r="E58" s="1" t="s">
        <v>1632</v>
      </c>
      <c r="F58" s="1" t="s">
        <v>1518</v>
      </c>
      <c r="G58" s="1" t="s">
        <v>1519</v>
      </c>
      <c r="H58" s="1" t="s">
        <v>1520</v>
      </c>
      <c r="I58" s="1" t="s">
        <v>1521</v>
      </c>
      <c r="J58" s="1" t="s">
        <v>1328</v>
      </c>
      <c r="K58">
        <v>0</v>
      </c>
      <c r="L58" s="1" t="s">
        <v>1329</v>
      </c>
      <c r="M58" s="1" t="s">
        <v>1522</v>
      </c>
    </row>
    <row r="59" spans="1:13" hidden="1" x14ac:dyDescent="0.35">
      <c r="A59" s="1" t="s">
        <v>1633</v>
      </c>
      <c r="B59" s="1" t="s">
        <v>1634</v>
      </c>
      <c r="C59" s="1" t="s">
        <v>1635</v>
      </c>
      <c r="D59" s="1" t="s">
        <v>1636</v>
      </c>
      <c r="E59" s="1" t="s">
        <v>1637</v>
      </c>
      <c r="F59" s="1" t="s">
        <v>1518</v>
      </c>
      <c r="G59" s="1" t="s">
        <v>1519</v>
      </c>
      <c r="H59" s="1" t="s">
        <v>1520</v>
      </c>
      <c r="I59" s="1" t="s">
        <v>1521</v>
      </c>
      <c r="J59" s="1" t="s">
        <v>1336</v>
      </c>
      <c r="K59">
        <v>0</v>
      </c>
      <c r="L59" s="1" t="s">
        <v>1329</v>
      </c>
      <c r="M59" s="1" t="s">
        <v>1522</v>
      </c>
    </row>
    <row r="60" spans="1:13" hidden="1" x14ac:dyDescent="0.35">
      <c r="A60" s="1" t="s">
        <v>1638</v>
      </c>
      <c r="B60" s="1" t="s">
        <v>1639</v>
      </c>
      <c r="C60" s="1" t="s">
        <v>1640</v>
      </c>
      <c r="D60" s="1" t="s">
        <v>1641</v>
      </c>
      <c r="E60" s="1" t="s">
        <v>1642</v>
      </c>
      <c r="F60" s="1" t="s">
        <v>1518</v>
      </c>
      <c r="G60" s="1" t="s">
        <v>1519</v>
      </c>
      <c r="H60" s="1" t="s">
        <v>1520</v>
      </c>
      <c r="I60" s="1" t="s">
        <v>1521</v>
      </c>
      <c r="J60" s="1" t="s">
        <v>1365</v>
      </c>
      <c r="K60">
        <v>0</v>
      </c>
      <c r="L60" s="1" t="s">
        <v>1329</v>
      </c>
      <c r="M60" s="1" t="s">
        <v>1522</v>
      </c>
    </row>
    <row r="61" spans="1:13" hidden="1" x14ac:dyDescent="0.35">
      <c r="A61" s="1" t="s">
        <v>1643</v>
      </c>
      <c r="B61" s="1" t="s">
        <v>1644</v>
      </c>
      <c r="C61" s="1" t="s">
        <v>1645</v>
      </c>
      <c r="D61" s="1" t="s">
        <v>1646</v>
      </c>
      <c r="E61" s="1" t="s">
        <v>1647</v>
      </c>
      <c r="F61" s="1" t="s">
        <v>1518</v>
      </c>
      <c r="G61" s="1" t="s">
        <v>1519</v>
      </c>
      <c r="H61" s="1" t="s">
        <v>1520</v>
      </c>
      <c r="I61" s="1" t="s">
        <v>1521</v>
      </c>
      <c r="J61" s="1" t="s">
        <v>1370</v>
      </c>
      <c r="K61">
        <v>0</v>
      </c>
      <c r="L61" s="1" t="s">
        <v>1329</v>
      </c>
      <c r="M61" s="1" t="s">
        <v>1522</v>
      </c>
    </row>
    <row r="62" spans="1:13" x14ac:dyDescent="0.35">
      <c r="A62" s="1" t="s">
        <v>1648</v>
      </c>
      <c r="B62" s="1" t="s">
        <v>1649</v>
      </c>
      <c r="C62" s="1" t="s">
        <v>1650</v>
      </c>
      <c r="D62" s="1" t="s">
        <v>1651</v>
      </c>
      <c r="E62" s="1" t="s">
        <v>1652</v>
      </c>
      <c r="F62" s="1" t="s">
        <v>1518</v>
      </c>
      <c r="G62" s="1" t="s">
        <v>1519</v>
      </c>
      <c r="H62" s="1" t="s">
        <v>1520</v>
      </c>
      <c r="I62" s="1" t="s">
        <v>1521</v>
      </c>
      <c r="J62" s="1" t="s">
        <v>1342</v>
      </c>
      <c r="K62">
        <v>0</v>
      </c>
      <c r="L62" s="1" t="s">
        <v>1329</v>
      </c>
      <c r="M62" s="1" t="s">
        <v>1522</v>
      </c>
    </row>
    <row r="63" spans="1:13" hidden="1" x14ac:dyDescent="0.35">
      <c r="A63" s="1" t="s">
        <v>1653</v>
      </c>
      <c r="B63" s="1" t="s">
        <v>1654</v>
      </c>
      <c r="C63" s="1" t="s">
        <v>1655</v>
      </c>
      <c r="D63" s="1" t="s">
        <v>1656</v>
      </c>
      <c r="E63" s="1" t="s">
        <v>1657</v>
      </c>
      <c r="F63" s="1" t="s">
        <v>1658</v>
      </c>
      <c r="G63" s="1" t="s">
        <v>1659</v>
      </c>
      <c r="H63" s="1" t="s">
        <v>1660</v>
      </c>
      <c r="I63" s="1" t="s">
        <v>1661</v>
      </c>
      <c r="J63" s="1" t="s">
        <v>1328</v>
      </c>
      <c r="K63">
        <v>1</v>
      </c>
      <c r="L63" s="1" t="s">
        <v>1352</v>
      </c>
      <c r="M63" s="1" t="s">
        <v>1662</v>
      </c>
    </row>
    <row r="64" spans="1:13" hidden="1" x14ac:dyDescent="0.35">
      <c r="A64" s="1" t="s">
        <v>1663</v>
      </c>
      <c r="B64" s="1" t="s">
        <v>1664</v>
      </c>
      <c r="C64" s="1" t="s">
        <v>1665</v>
      </c>
      <c r="D64" s="1" t="s">
        <v>1666</v>
      </c>
      <c r="E64" s="1" t="s">
        <v>1667</v>
      </c>
      <c r="F64" s="1" t="s">
        <v>1658</v>
      </c>
      <c r="G64" s="1" t="s">
        <v>1659</v>
      </c>
      <c r="H64" s="1" t="s">
        <v>1660</v>
      </c>
      <c r="I64" s="1" t="s">
        <v>1661</v>
      </c>
      <c r="J64" s="1" t="s">
        <v>1336</v>
      </c>
      <c r="K64">
        <v>1</v>
      </c>
      <c r="L64" s="1" t="s">
        <v>1352</v>
      </c>
      <c r="M64" s="1" t="s">
        <v>1662</v>
      </c>
    </row>
    <row r="65" spans="1:13" hidden="1" x14ac:dyDescent="0.35">
      <c r="A65" s="1" t="s">
        <v>1668</v>
      </c>
      <c r="B65" s="1" t="s">
        <v>1669</v>
      </c>
      <c r="C65" s="1" t="s">
        <v>1670</v>
      </c>
      <c r="D65" s="1" t="s">
        <v>1671</v>
      </c>
      <c r="E65" s="1" t="s">
        <v>1672</v>
      </c>
      <c r="F65" s="1" t="s">
        <v>1658</v>
      </c>
      <c r="G65" s="1" t="s">
        <v>1659</v>
      </c>
      <c r="H65" s="1" t="s">
        <v>1660</v>
      </c>
      <c r="I65" s="1" t="s">
        <v>1661</v>
      </c>
      <c r="J65" s="1" t="s">
        <v>1365</v>
      </c>
      <c r="K65">
        <v>1</v>
      </c>
      <c r="L65" s="1" t="s">
        <v>1352</v>
      </c>
      <c r="M65" s="1" t="s">
        <v>1662</v>
      </c>
    </row>
    <row r="66" spans="1:13" x14ac:dyDescent="0.35">
      <c r="A66" s="1" t="s">
        <v>1673</v>
      </c>
      <c r="B66" s="1" t="s">
        <v>1674</v>
      </c>
      <c r="C66" s="1" t="s">
        <v>1675</v>
      </c>
      <c r="D66" s="1" t="s">
        <v>1676</v>
      </c>
      <c r="E66" s="1" t="s">
        <v>1677</v>
      </c>
      <c r="F66" s="1" t="s">
        <v>1658</v>
      </c>
      <c r="G66" s="1" t="s">
        <v>1659</v>
      </c>
      <c r="H66" s="1" t="s">
        <v>1660</v>
      </c>
      <c r="I66" s="1" t="s">
        <v>1661</v>
      </c>
      <c r="J66" s="1" t="s">
        <v>1342</v>
      </c>
      <c r="K66">
        <v>1</v>
      </c>
      <c r="L66" s="1" t="s">
        <v>1352</v>
      </c>
      <c r="M66" s="1" t="s">
        <v>1662</v>
      </c>
    </row>
    <row r="67" spans="1:13" hidden="1" x14ac:dyDescent="0.35">
      <c r="A67" s="1" t="s">
        <v>1678</v>
      </c>
      <c r="B67" s="1" t="s">
        <v>1679</v>
      </c>
      <c r="C67" s="1" t="s">
        <v>1680</v>
      </c>
      <c r="D67" s="1" t="s">
        <v>1681</v>
      </c>
      <c r="E67" s="1" t="s">
        <v>1682</v>
      </c>
      <c r="F67" s="1" t="s">
        <v>1658</v>
      </c>
      <c r="G67" s="1" t="s">
        <v>1659</v>
      </c>
      <c r="H67" s="1" t="s">
        <v>1660</v>
      </c>
      <c r="I67" s="1" t="s">
        <v>1661</v>
      </c>
      <c r="J67" s="1" t="s">
        <v>1370</v>
      </c>
      <c r="K67">
        <v>1</v>
      </c>
      <c r="L67" s="1" t="s">
        <v>1352</v>
      </c>
      <c r="M67" s="1" t="s">
        <v>1662</v>
      </c>
    </row>
    <row r="68" spans="1:13" hidden="1" x14ac:dyDescent="0.35">
      <c r="A68" s="1" t="s">
        <v>1683</v>
      </c>
      <c r="B68" s="1" t="s">
        <v>1684</v>
      </c>
      <c r="C68" s="1" t="s">
        <v>1685</v>
      </c>
      <c r="D68" s="1" t="s">
        <v>1686</v>
      </c>
      <c r="E68" s="1" t="s">
        <v>1687</v>
      </c>
      <c r="F68" s="1" t="s">
        <v>1658</v>
      </c>
      <c r="G68" s="1" t="s">
        <v>1659</v>
      </c>
      <c r="H68" s="1" t="s">
        <v>1660</v>
      </c>
      <c r="I68" s="1" t="s">
        <v>1661</v>
      </c>
      <c r="J68" s="1" t="s">
        <v>1328</v>
      </c>
      <c r="K68">
        <v>1</v>
      </c>
      <c r="L68" s="1" t="s">
        <v>1352</v>
      </c>
      <c r="M68" s="1" t="s">
        <v>1662</v>
      </c>
    </row>
    <row r="69" spans="1:13" hidden="1" x14ac:dyDescent="0.35">
      <c r="A69" s="1" t="s">
        <v>1688</v>
      </c>
      <c r="B69" s="1" t="s">
        <v>1689</v>
      </c>
      <c r="C69" s="1" t="s">
        <v>1690</v>
      </c>
      <c r="D69" s="1" t="s">
        <v>1691</v>
      </c>
      <c r="E69" s="1" t="s">
        <v>1692</v>
      </c>
      <c r="F69" s="1" t="s">
        <v>1658</v>
      </c>
      <c r="G69" s="1" t="s">
        <v>1659</v>
      </c>
      <c r="H69" s="1" t="s">
        <v>1660</v>
      </c>
      <c r="I69" s="1" t="s">
        <v>1661</v>
      </c>
      <c r="J69" s="1" t="s">
        <v>1336</v>
      </c>
      <c r="K69">
        <v>1</v>
      </c>
      <c r="L69" s="1" t="s">
        <v>1352</v>
      </c>
      <c r="M69" s="1" t="s">
        <v>1662</v>
      </c>
    </row>
    <row r="70" spans="1:13" hidden="1" x14ac:dyDescent="0.35">
      <c r="A70" s="1" t="s">
        <v>1693</v>
      </c>
      <c r="B70" s="1" t="s">
        <v>1694</v>
      </c>
      <c r="C70" s="1" t="s">
        <v>1695</v>
      </c>
      <c r="D70" s="1" t="s">
        <v>1696</v>
      </c>
      <c r="E70" s="1" t="s">
        <v>1697</v>
      </c>
      <c r="F70" s="1" t="s">
        <v>1658</v>
      </c>
      <c r="G70" s="1" t="s">
        <v>1659</v>
      </c>
      <c r="H70" s="1" t="s">
        <v>1660</v>
      </c>
      <c r="I70" s="1" t="s">
        <v>1661</v>
      </c>
      <c r="J70" s="1" t="s">
        <v>1365</v>
      </c>
      <c r="K70">
        <v>1</v>
      </c>
      <c r="L70" s="1" t="s">
        <v>1352</v>
      </c>
      <c r="M70" s="1" t="s">
        <v>1662</v>
      </c>
    </row>
    <row r="71" spans="1:13" x14ac:dyDescent="0.35">
      <c r="A71" s="1" t="s">
        <v>1698</v>
      </c>
      <c r="B71" s="1" t="s">
        <v>1699</v>
      </c>
      <c r="C71" s="1" t="s">
        <v>1700</v>
      </c>
      <c r="D71" s="1" t="s">
        <v>1701</v>
      </c>
      <c r="E71" s="1" t="s">
        <v>1702</v>
      </c>
      <c r="F71" s="1" t="s">
        <v>1658</v>
      </c>
      <c r="G71" s="1" t="s">
        <v>1659</v>
      </c>
      <c r="H71" s="1" t="s">
        <v>1660</v>
      </c>
      <c r="I71" s="1" t="s">
        <v>1661</v>
      </c>
      <c r="J71" s="1" t="s">
        <v>1342</v>
      </c>
      <c r="K71">
        <v>1</v>
      </c>
      <c r="L71" s="1" t="s">
        <v>1352</v>
      </c>
      <c r="M71" s="1" t="s">
        <v>1662</v>
      </c>
    </row>
    <row r="72" spans="1:13" hidden="1" x14ac:dyDescent="0.35">
      <c r="A72" s="1" t="s">
        <v>1703</v>
      </c>
      <c r="B72" s="1" t="s">
        <v>1704</v>
      </c>
      <c r="C72" s="1" t="s">
        <v>1705</v>
      </c>
      <c r="D72" s="1" t="s">
        <v>1706</v>
      </c>
      <c r="E72" s="1" t="s">
        <v>1707</v>
      </c>
      <c r="F72" s="1" t="s">
        <v>1658</v>
      </c>
      <c r="G72" s="1" t="s">
        <v>1659</v>
      </c>
      <c r="H72" s="1" t="s">
        <v>1660</v>
      </c>
      <c r="I72" s="1" t="s">
        <v>1661</v>
      </c>
      <c r="J72" s="1" t="s">
        <v>1370</v>
      </c>
      <c r="K72">
        <v>1</v>
      </c>
      <c r="L72" s="1" t="s">
        <v>1352</v>
      </c>
      <c r="M72" s="1" t="s">
        <v>1662</v>
      </c>
    </row>
    <row r="73" spans="1:13" hidden="1" x14ac:dyDescent="0.35">
      <c r="A73" s="1" t="s">
        <v>1708</v>
      </c>
      <c r="B73" s="1" t="s">
        <v>1709</v>
      </c>
      <c r="C73" s="1" t="s">
        <v>1710</v>
      </c>
      <c r="D73" s="1" t="s">
        <v>1711</v>
      </c>
      <c r="E73" s="1" t="s">
        <v>1712</v>
      </c>
      <c r="F73" s="1" t="s">
        <v>1658</v>
      </c>
      <c r="G73" s="1" t="s">
        <v>1659</v>
      </c>
      <c r="H73" s="1" t="s">
        <v>1660</v>
      </c>
      <c r="I73" s="1" t="s">
        <v>1661</v>
      </c>
      <c r="J73" s="1" t="s">
        <v>1328</v>
      </c>
      <c r="K73">
        <v>1</v>
      </c>
      <c r="L73" s="1" t="s">
        <v>1352</v>
      </c>
      <c r="M73" s="1" t="s">
        <v>1713</v>
      </c>
    </row>
    <row r="74" spans="1:13" hidden="1" x14ac:dyDescent="0.35">
      <c r="A74" s="1" t="s">
        <v>1714</v>
      </c>
      <c r="B74" s="1" t="s">
        <v>1715</v>
      </c>
      <c r="C74" s="1" t="s">
        <v>1716</v>
      </c>
      <c r="D74" s="1" t="s">
        <v>1717</v>
      </c>
      <c r="E74" s="1" t="s">
        <v>1718</v>
      </c>
      <c r="F74" s="1" t="s">
        <v>1658</v>
      </c>
      <c r="G74" s="1" t="s">
        <v>1659</v>
      </c>
      <c r="H74" s="1" t="s">
        <v>1660</v>
      </c>
      <c r="I74" s="1" t="s">
        <v>1661</v>
      </c>
      <c r="J74" s="1" t="s">
        <v>1336</v>
      </c>
      <c r="K74">
        <v>1</v>
      </c>
      <c r="L74" s="1" t="s">
        <v>1352</v>
      </c>
      <c r="M74" s="1" t="s">
        <v>1713</v>
      </c>
    </row>
    <row r="75" spans="1:13" hidden="1" x14ac:dyDescent="0.35">
      <c r="A75" s="1" t="s">
        <v>1719</v>
      </c>
      <c r="B75" s="1" t="s">
        <v>1720</v>
      </c>
      <c r="C75" s="1" t="s">
        <v>1721</v>
      </c>
      <c r="D75" s="1" t="s">
        <v>1722</v>
      </c>
      <c r="E75" s="1" t="s">
        <v>1723</v>
      </c>
      <c r="F75" s="1" t="s">
        <v>1658</v>
      </c>
      <c r="G75" s="1" t="s">
        <v>1659</v>
      </c>
      <c r="H75" s="1" t="s">
        <v>1660</v>
      </c>
      <c r="I75" s="1" t="s">
        <v>1661</v>
      </c>
      <c r="J75" s="1" t="s">
        <v>1365</v>
      </c>
      <c r="K75">
        <v>1</v>
      </c>
      <c r="L75" s="1" t="s">
        <v>1352</v>
      </c>
      <c r="M75" s="1" t="s">
        <v>1713</v>
      </c>
    </row>
    <row r="76" spans="1:13" x14ac:dyDescent="0.35">
      <c r="A76" s="1" t="s">
        <v>1724</v>
      </c>
      <c r="B76" s="1" t="s">
        <v>1725</v>
      </c>
      <c r="C76" s="1" t="s">
        <v>1726</v>
      </c>
      <c r="D76" s="1" t="s">
        <v>1727</v>
      </c>
      <c r="E76" s="1" t="s">
        <v>1728</v>
      </c>
      <c r="F76" s="1" t="s">
        <v>1658</v>
      </c>
      <c r="G76" s="1" t="s">
        <v>1659</v>
      </c>
      <c r="H76" s="1" t="s">
        <v>1660</v>
      </c>
      <c r="I76" s="1" t="s">
        <v>1661</v>
      </c>
      <c r="J76" s="1" t="s">
        <v>1342</v>
      </c>
      <c r="K76">
        <v>1</v>
      </c>
      <c r="L76" s="1" t="s">
        <v>1352</v>
      </c>
      <c r="M76" s="1" t="s">
        <v>1713</v>
      </c>
    </row>
    <row r="77" spans="1:13" hidden="1" x14ac:dyDescent="0.35">
      <c r="A77" s="1" t="s">
        <v>1729</v>
      </c>
      <c r="B77" s="1" t="s">
        <v>1730</v>
      </c>
      <c r="C77" s="1" t="s">
        <v>1731</v>
      </c>
      <c r="D77" s="1" t="s">
        <v>1732</v>
      </c>
      <c r="E77" s="1" t="s">
        <v>1733</v>
      </c>
      <c r="F77" s="1" t="s">
        <v>1658</v>
      </c>
      <c r="G77" s="1" t="s">
        <v>1659</v>
      </c>
      <c r="H77" s="1" t="s">
        <v>1660</v>
      </c>
      <c r="I77" s="1" t="s">
        <v>1661</v>
      </c>
      <c r="J77" s="1" t="s">
        <v>1370</v>
      </c>
      <c r="K77">
        <v>1</v>
      </c>
      <c r="L77" s="1" t="s">
        <v>1352</v>
      </c>
      <c r="M77" s="1" t="s">
        <v>1713</v>
      </c>
    </row>
    <row r="78" spans="1:13" hidden="1" x14ac:dyDescent="0.35">
      <c r="A78" s="1" t="s">
        <v>1734</v>
      </c>
      <c r="B78" s="1" t="s">
        <v>1735</v>
      </c>
      <c r="C78" s="1" t="s">
        <v>1736</v>
      </c>
      <c r="D78" s="1" t="s">
        <v>1737</v>
      </c>
      <c r="E78" s="1" t="s">
        <v>1738</v>
      </c>
      <c r="F78" s="1" t="s">
        <v>1658</v>
      </c>
      <c r="G78" s="1" t="s">
        <v>1659</v>
      </c>
      <c r="H78" s="1" t="s">
        <v>1660</v>
      </c>
      <c r="I78" s="1" t="s">
        <v>1661</v>
      </c>
      <c r="J78" s="1" t="s">
        <v>1328</v>
      </c>
      <c r="K78">
        <v>1</v>
      </c>
      <c r="L78" s="1" t="s">
        <v>1352</v>
      </c>
      <c r="M78" s="1" t="s">
        <v>1713</v>
      </c>
    </row>
    <row r="79" spans="1:13" hidden="1" x14ac:dyDescent="0.35">
      <c r="A79" s="1" t="s">
        <v>1739</v>
      </c>
      <c r="B79" s="1" t="s">
        <v>1740</v>
      </c>
      <c r="C79" s="1" t="s">
        <v>1741</v>
      </c>
      <c r="D79" s="1" t="s">
        <v>1742</v>
      </c>
      <c r="E79" s="1" t="s">
        <v>1743</v>
      </c>
      <c r="F79" s="1" t="s">
        <v>1658</v>
      </c>
      <c r="G79" s="1" t="s">
        <v>1659</v>
      </c>
      <c r="H79" s="1" t="s">
        <v>1660</v>
      </c>
      <c r="I79" s="1" t="s">
        <v>1661</v>
      </c>
      <c r="J79" s="1" t="s">
        <v>1336</v>
      </c>
      <c r="K79">
        <v>1</v>
      </c>
      <c r="L79" s="1" t="s">
        <v>1352</v>
      </c>
      <c r="M79" s="1" t="s">
        <v>1713</v>
      </c>
    </row>
    <row r="80" spans="1:13" hidden="1" x14ac:dyDescent="0.35">
      <c r="A80" s="1" t="s">
        <v>1744</v>
      </c>
      <c r="B80" s="1" t="s">
        <v>1745</v>
      </c>
      <c r="C80" s="1" t="s">
        <v>1746</v>
      </c>
      <c r="D80" s="1" t="s">
        <v>1747</v>
      </c>
      <c r="E80" s="1" t="s">
        <v>1748</v>
      </c>
      <c r="F80" s="1" t="s">
        <v>1658</v>
      </c>
      <c r="G80" s="1" t="s">
        <v>1659</v>
      </c>
      <c r="H80" s="1" t="s">
        <v>1660</v>
      </c>
      <c r="I80" s="1" t="s">
        <v>1661</v>
      </c>
      <c r="J80" s="1" t="s">
        <v>1365</v>
      </c>
      <c r="K80">
        <v>1</v>
      </c>
      <c r="L80" s="1" t="s">
        <v>1352</v>
      </c>
      <c r="M80" s="1" t="s">
        <v>1713</v>
      </c>
    </row>
    <row r="81" spans="1:13" x14ac:dyDescent="0.35">
      <c r="A81" s="1" t="s">
        <v>1749</v>
      </c>
      <c r="B81" s="1" t="s">
        <v>1750</v>
      </c>
      <c r="C81" s="1" t="s">
        <v>1751</v>
      </c>
      <c r="D81" s="1" t="s">
        <v>1752</v>
      </c>
      <c r="E81" s="1" t="s">
        <v>1753</v>
      </c>
      <c r="F81" s="1" t="s">
        <v>1658</v>
      </c>
      <c r="G81" s="1" t="s">
        <v>1659</v>
      </c>
      <c r="H81" s="1" t="s">
        <v>1660</v>
      </c>
      <c r="I81" s="1" t="s">
        <v>1661</v>
      </c>
      <c r="J81" s="1" t="s">
        <v>1342</v>
      </c>
      <c r="K81">
        <v>1</v>
      </c>
      <c r="L81" s="1" t="s">
        <v>1352</v>
      </c>
      <c r="M81" s="1" t="s">
        <v>1713</v>
      </c>
    </row>
    <row r="82" spans="1:13" hidden="1" x14ac:dyDescent="0.35">
      <c r="A82" s="1" t="s">
        <v>1754</v>
      </c>
      <c r="B82" s="1" t="s">
        <v>1755</v>
      </c>
      <c r="C82" s="1" t="s">
        <v>1756</v>
      </c>
      <c r="D82" s="1" t="s">
        <v>1757</v>
      </c>
      <c r="E82" s="1" t="s">
        <v>1758</v>
      </c>
      <c r="F82" s="1" t="s">
        <v>1658</v>
      </c>
      <c r="G82" s="1" t="s">
        <v>1659</v>
      </c>
      <c r="H82" s="1" t="s">
        <v>1660</v>
      </c>
      <c r="I82" s="1" t="s">
        <v>1661</v>
      </c>
      <c r="J82" s="1" t="s">
        <v>1370</v>
      </c>
      <c r="K82">
        <v>1</v>
      </c>
      <c r="L82" s="1" t="s">
        <v>1352</v>
      </c>
      <c r="M82" s="1" t="s">
        <v>1713</v>
      </c>
    </row>
    <row r="83" spans="1:13" hidden="1" x14ac:dyDescent="0.35">
      <c r="A83" s="1" t="s">
        <v>1759</v>
      </c>
      <c r="B83" s="1" t="s">
        <v>1760</v>
      </c>
      <c r="C83" s="1" t="s">
        <v>1761</v>
      </c>
      <c r="D83" s="1" t="s">
        <v>1762</v>
      </c>
      <c r="E83" s="1" t="s">
        <v>1763</v>
      </c>
      <c r="F83" s="1" t="s">
        <v>1658</v>
      </c>
      <c r="G83" s="1" t="s">
        <v>1659</v>
      </c>
      <c r="H83" s="1" t="s">
        <v>1660</v>
      </c>
      <c r="I83" s="1" t="s">
        <v>1661</v>
      </c>
      <c r="J83" s="1" t="s">
        <v>1328</v>
      </c>
      <c r="K83">
        <v>1</v>
      </c>
      <c r="L83" s="1" t="s">
        <v>1352</v>
      </c>
      <c r="M83" s="1" t="s">
        <v>1662</v>
      </c>
    </row>
    <row r="84" spans="1:13" hidden="1" x14ac:dyDescent="0.35">
      <c r="A84" s="1" t="s">
        <v>1764</v>
      </c>
      <c r="B84" s="1" t="s">
        <v>1765</v>
      </c>
      <c r="C84" s="1" t="s">
        <v>1766</v>
      </c>
      <c r="D84" s="1" t="s">
        <v>1767</v>
      </c>
      <c r="E84" s="1" t="s">
        <v>1768</v>
      </c>
      <c r="F84" s="1" t="s">
        <v>1658</v>
      </c>
      <c r="G84" s="1" t="s">
        <v>1659</v>
      </c>
      <c r="H84" s="1" t="s">
        <v>1660</v>
      </c>
      <c r="I84" s="1" t="s">
        <v>1661</v>
      </c>
      <c r="J84" s="1" t="s">
        <v>1336</v>
      </c>
      <c r="K84">
        <v>1</v>
      </c>
      <c r="L84" s="1" t="s">
        <v>1352</v>
      </c>
      <c r="M84" s="1" t="s">
        <v>1662</v>
      </c>
    </row>
    <row r="85" spans="1:13" hidden="1" x14ac:dyDescent="0.35">
      <c r="A85" s="1" t="s">
        <v>1769</v>
      </c>
      <c r="B85" s="1" t="s">
        <v>1770</v>
      </c>
      <c r="C85" s="1" t="s">
        <v>1771</v>
      </c>
      <c r="D85" s="1" t="s">
        <v>1772</v>
      </c>
      <c r="E85" s="1" t="s">
        <v>1773</v>
      </c>
      <c r="F85" s="1" t="s">
        <v>1658</v>
      </c>
      <c r="G85" s="1" t="s">
        <v>1659</v>
      </c>
      <c r="H85" s="1" t="s">
        <v>1660</v>
      </c>
      <c r="I85" s="1" t="s">
        <v>1661</v>
      </c>
      <c r="J85" s="1" t="s">
        <v>1365</v>
      </c>
      <c r="K85">
        <v>1</v>
      </c>
      <c r="L85" s="1" t="s">
        <v>1352</v>
      </c>
      <c r="M85" s="1" t="s">
        <v>1662</v>
      </c>
    </row>
    <row r="86" spans="1:13" x14ac:dyDescent="0.35">
      <c r="A86" s="1" t="s">
        <v>1774</v>
      </c>
      <c r="B86" s="1" t="s">
        <v>1775</v>
      </c>
      <c r="C86" s="1" t="s">
        <v>1776</v>
      </c>
      <c r="D86" s="1" t="s">
        <v>1777</v>
      </c>
      <c r="E86" s="1" t="s">
        <v>1778</v>
      </c>
      <c r="F86" s="1" t="s">
        <v>1658</v>
      </c>
      <c r="G86" s="1" t="s">
        <v>1659</v>
      </c>
      <c r="H86" s="1" t="s">
        <v>1660</v>
      </c>
      <c r="I86" s="1" t="s">
        <v>1661</v>
      </c>
      <c r="J86" s="1" t="s">
        <v>1342</v>
      </c>
      <c r="K86">
        <v>1</v>
      </c>
      <c r="L86" s="1" t="s">
        <v>1352</v>
      </c>
      <c r="M86" s="1" t="s">
        <v>1662</v>
      </c>
    </row>
    <row r="87" spans="1:13" hidden="1" x14ac:dyDescent="0.35">
      <c r="A87" s="1" t="s">
        <v>1779</v>
      </c>
      <c r="B87" s="1" t="s">
        <v>1780</v>
      </c>
      <c r="C87" s="1" t="s">
        <v>1781</v>
      </c>
      <c r="D87" s="1" t="s">
        <v>1782</v>
      </c>
      <c r="E87" s="1" t="s">
        <v>1783</v>
      </c>
      <c r="F87" s="1" t="s">
        <v>1658</v>
      </c>
      <c r="G87" s="1" t="s">
        <v>1659</v>
      </c>
      <c r="H87" s="1" t="s">
        <v>1660</v>
      </c>
      <c r="I87" s="1" t="s">
        <v>1661</v>
      </c>
      <c r="J87" s="1" t="s">
        <v>1370</v>
      </c>
      <c r="K87">
        <v>1</v>
      </c>
      <c r="L87" s="1" t="s">
        <v>1352</v>
      </c>
      <c r="M87" s="1" t="s">
        <v>1662</v>
      </c>
    </row>
    <row r="88" spans="1:13" hidden="1" x14ac:dyDescent="0.35">
      <c r="A88" s="1" t="s">
        <v>1784</v>
      </c>
      <c r="B88" s="1" t="s">
        <v>1785</v>
      </c>
      <c r="C88" s="1" t="s">
        <v>1786</v>
      </c>
      <c r="D88" s="1" t="s">
        <v>1787</v>
      </c>
      <c r="E88" s="1" t="s">
        <v>1788</v>
      </c>
      <c r="F88" s="1" t="s">
        <v>1789</v>
      </c>
      <c r="G88" s="1" t="s">
        <v>1790</v>
      </c>
      <c r="H88" s="1" t="s">
        <v>1791</v>
      </c>
      <c r="I88" s="1" t="s">
        <v>1792</v>
      </c>
      <c r="J88" s="1" t="s">
        <v>1328</v>
      </c>
      <c r="K88">
        <v>1</v>
      </c>
      <c r="L88" s="1" t="s">
        <v>1352</v>
      </c>
      <c r="M88" s="1" t="s">
        <v>1662</v>
      </c>
    </row>
    <row r="89" spans="1:13" hidden="1" x14ac:dyDescent="0.35">
      <c r="A89" s="1" t="s">
        <v>1793</v>
      </c>
      <c r="B89" s="1" t="s">
        <v>1794</v>
      </c>
      <c r="C89" s="1" t="s">
        <v>1795</v>
      </c>
      <c r="D89" s="1" t="s">
        <v>1796</v>
      </c>
      <c r="E89" s="1" t="s">
        <v>1797</v>
      </c>
      <c r="F89" s="1" t="s">
        <v>1789</v>
      </c>
      <c r="G89" s="1" t="s">
        <v>1790</v>
      </c>
      <c r="H89" s="1" t="s">
        <v>1791</v>
      </c>
      <c r="I89" s="1" t="s">
        <v>1792</v>
      </c>
      <c r="J89" s="1" t="s">
        <v>1336</v>
      </c>
      <c r="K89">
        <v>1</v>
      </c>
      <c r="L89" s="1" t="s">
        <v>1352</v>
      </c>
      <c r="M89" s="1" t="s">
        <v>1662</v>
      </c>
    </row>
    <row r="90" spans="1:13" hidden="1" x14ac:dyDescent="0.35">
      <c r="A90" s="1" t="s">
        <v>1798</v>
      </c>
      <c r="B90" s="1" t="s">
        <v>1799</v>
      </c>
      <c r="C90" s="1" t="s">
        <v>1800</v>
      </c>
      <c r="D90" s="1" t="s">
        <v>1801</v>
      </c>
      <c r="E90" s="1" t="s">
        <v>1802</v>
      </c>
      <c r="F90" s="1" t="s">
        <v>1789</v>
      </c>
      <c r="G90" s="1" t="s">
        <v>1790</v>
      </c>
      <c r="H90" s="1" t="s">
        <v>1791</v>
      </c>
      <c r="I90" s="1" t="s">
        <v>1792</v>
      </c>
      <c r="J90" s="1" t="s">
        <v>1365</v>
      </c>
      <c r="K90">
        <v>1</v>
      </c>
      <c r="L90" s="1" t="s">
        <v>1352</v>
      </c>
      <c r="M90" s="1" t="s">
        <v>1662</v>
      </c>
    </row>
    <row r="91" spans="1:13" x14ac:dyDescent="0.35">
      <c r="A91" s="1" t="s">
        <v>1803</v>
      </c>
      <c r="B91" s="1" t="s">
        <v>1804</v>
      </c>
      <c r="C91" s="1" t="s">
        <v>1805</v>
      </c>
      <c r="D91" s="1" t="s">
        <v>1806</v>
      </c>
      <c r="E91" s="1" t="s">
        <v>1807</v>
      </c>
      <c r="F91" s="1" t="s">
        <v>1789</v>
      </c>
      <c r="G91" s="1" t="s">
        <v>1790</v>
      </c>
      <c r="H91" s="1" t="s">
        <v>1791</v>
      </c>
      <c r="I91" s="1" t="s">
        <v>1792</v>
      </c>
      <c r="J91" s="1" t="s">
        <v>1342</v>
      </c>
      <c r="K91">
        <v>1</v>
      </c>
      <c r="L91" s="1" t="s">
        <v>1352</v>
      </c>
      <c r="M91" s="1" t="s">
        <v>1662</v>
      </c>
    </row>
    <row r="92" spans="1:13" hidden="1" x14ac:dyDescent="0.35">
      <c r="A92" s="1" t="s">
        <v>1808</v>
      </c>
      <c r="B92" s="1" t="s">
        <v>1809</v>
      </c>
      <c r="C92" s="1" t="s">
        <v>1810</v>
      </c>
      <c r="D92" s="1" t="s">
        <v>1811</v>
      </c>
      <c r="E92" s="1" t="s">
        <v>1812</v>
      </c>
      <c r="F92" s="1" t="s">
        <v>1789</v>
      </c>
      <c r="G92" s="1" t="s">
        <v>1790</v>
      </c>
      <c r="H92" s="1" t="s">
        <v>1791</v>
      </c>
      <c r="I92" s="1" t="s">
        <v>1792</v>
      </c>
      <c r="J92" s="1" t="s">
        <v>1370</v>
      </c>
      <c r="K92">
        <v>1</v>
      </c>
      <c r="L92" s="1" t="s">
        <v>1352</v>
      </c>
      <c r="M92" s="1" t="s">
        <v>1662</v>
      </c>
    </row>
    <row r="93" spans="1:13" hidden="1" x14ac:dyDescent="0.35">
      <c r="A93" s="1" t="s">
        <v>1813</v>
      </c>
      <c r="B93" s="1" t="s">
        <v>1814</v>
      </c>
      <c r="C93" s="1" t="s">
        <v>1815</v>
      </c>
      <c r="D93" s="1" t="s">
        <v>1816</v>
      </c>
      <c r="E93" s="1" t="s">
        <v>1817</v>
      </c>
      <c r="F93" s="1" t="s">
        <v>1818</v>
      </c>
      <c r="G93" s="1" t="s">
        <v>1819</v>
      </c>
      <c r="H93" s="1" t="s">
        <v>1820</v>
      </c>
      <c r="I93" s="1" t="s">
        <v>1821</v>
      </c>
      <c r="J93" s="1" t="s">
        <v>1328</v>
      </c>
      <c r="K93">
        <v>1</v>
      </c>
      <c r="L93" s="1" t="s">
        <v>1352</v>
      </c>
      <c r="M93" s="1" t="s">
        <v>1822</v>
      </c>
    </row>
    <row r="94" spans="1:13" hidden="1" x14ac:dyDescent="0.35">
      <c r="A94" s="1" t="s">
        <v>1823</v>
      </c>
      <c r="B94" s="1" t="s">
        <v>1824</v>
      </c>
      <c r="C94" s="1" t="s">
        <v>1825</v>
      </c>
      <c r="D94" s="1" t="s">
        <v>1826</v>
      </c>
      <c r="E94" s="1" t="s">
        <v>1827</v>
      </c>
      <c r="F94" s="1" t="s">
        <v>1818</v>
      </c>
      <c r="G94" s="1" t="s">
        <v>1819</v>
      </c>
      <c r="H94" s="1" t="s">
        <v>1820</v>
      </c>
      <c r="I94" s="1" t="s">
        <v>1821</v>
      </c>
      <c r="J94" s="1" t="s">
        <v>1328</v>
      </c>
      <c r="K94">
        <v>1</v>
      </c>
      <c r="L94" s="1" t="s">
        <v>1352</v>
      </c>
      <c r="M94" s="1" t="s">
        <v>1822</v>
      </c>
    </row>
    <row r="95" spans="1:13" hidden="1" x14ac:dyDescent="0.35">
      <c r="A95" s="1" t="s">
        <v>1828</v>
      </c>
      <c r="B95" s="1" t="s">
        <v>1829</v>
      </c>
      <c r="C95" s="1" t="s">
        <v>1830</v>
      </c>
      <c r="D95" s="1" t="s">
        <v>1831</v>
      </c>
      <c r="E95" s="1" t="s">
        <v>1832</v>
      </c>
      <c r="F95" s="1" t="s">
        <v>1818</v>
      </c>
      <c r="G95" s="1" t="s">
        <v>1819</v>
      </c>
      <c r="H95" s="1" t="s">
        <v>1820</v>
      </c>
      <c r="I95" s="1" t="s">
        <v>1821</v>
      </c>
      <c r="J95" s="1" t="s">
        <v>1336</v>
      </c>
      <c r="K95">
        <v>1</v>
      </c>
      <c r="L95" s="1" t="s">
        <v>1352</v>
      </c>
      <c r="M95" s="1" t="s">
        <v>1822</v>
      </c>
    </row>
    <row r="96" spans="1:13" hidden="1" x14ac:dyDescent="0.35">
      <c r="A96" s="1" t="s">
        <v>1833</v>
      </c>
      <c r="B96" s="1" t="s">
        <v>1834</v>
      </c>
      <c r="C96" s="1" t="s">
        <v>1835</v>
      </c>
      <c r="D96" s="1" t="s">
        <v>1836</v>
      </c>
      <c r="E96" s="1" t="s">
        <v>1837</v>
      </c>
      <c r="F96" s="1" t="s">
        <v>1818</v>
      </c>
      <c r="G96" s="1" t="s">
        <v>1819</v>
      </c>
      <c r="H96" s="1" t="s">
        <v>1820</v>
      </c>
      <c r="I96" s="1" t="s">
        <v>1821</v>
      </c>
      <c r="J96" s="1" t="s">
        <v>1365</v>
      </c>
      <c r="K96">
        <v>1</v>
      </c>
      <c r="L96" s="1" t="s">
        <v>1352</v>
      </c>
      <c r="M96" s="1" t="s">
        <v>1822</v>
      </c>
    </row>
    <row r="97" spans="1:13" hidden="1" x14ac:dyDescent="0.35">
      <c r="A97" s="1" t="s">
        <v>1838</v>
      </c>
      <c r="B97" s="1" t="s">
        <v>1839</v>
      </c>
      <c r="C97" s="1" t="s">
        <v>1840</v>
      </c>
      <c r="D97" s="1" t="s">
        <v>1841</v>
      </c>
      <c r="E97" s="1" t="s">
        <v>1842</v>
      </c>
      <c r="F97" s="1" t="s">
        <v>1818</v>
      </c>
      <c r="G97" s="1" t="s">
        <v>1819</v>
      </c>
      <c r="H97" s="1" t="s">
        <v>1820</v>
      </c>
      <c r="I97" s="1" t="s">
        <v>1821</v>
      </c>
      <c r="J97" s="1" t="s">
        <v>1370</v>
      </c>
      <c r="K97">
        <v>1</v>
      </c>
      <c r="L97" s="1" t="s">
        <v>1352</v>
      </c>
      <c r="M97" s="1" t="s">
        <v>1822</v>
      </c>
    </row>
    <row r="98" spans="1:13" x14ac:dyDescent="0.35">
      <c r="A98" s="1" t="s">
        <v>1843</v>
      </c>
      <c r="B98" s="1" t="s">
        <v>1844</v>
      </c>
      <c r="C98" s="1" t="s">
        <v>1845</v>
      </c>
      <c r="D98" s="1" t="s">
        <v>1846</v>
      </c>
      <c r="E98" s="1" t="s">
        <v>1847</v>
      </c>
      <c r="F98" s="1" t="s">
        <v>1818</v>
      </c>
      <c r="G98" s="1" t="s">
        <v>1819</v>
      </c>
      <c r="H98" s="1" t="s">
        <v>1820</v>
      </c>
      <c r="I98" s="1" t="s">
        <v>1821</v>
      </c>
      <c r="J98" s="1" t="s">
        <v>1342</v>
      </c>
      <c r="K98">
        <v>1</v>
      </c>
      <c r="L98" s="1" t="s">
        <v>1352</v>
      </c>
      <c r="M98" s="1" t="s">
        <v>1822</v>
      </c>
    </row>
    <row r="99" spans="1:13" hidden="1" x14ac:dyDescent="0.35">
      <c r="A99" s="1" t="s">
        <v>1848</v>
      </c>
      <c r="B99" s="1" t="s">
        <v>1849</v>
      </c>
      <c r="C99" s="1" t="s">
        <v>1850</v>
      </c>
      <c r="D99" s="1" t="s">
        <v>1851</v>
      </c>
      <c r="E99" s="1" t="s">
        <v>1852</v>
      </c>
      <c r="F99" s="1" t="s">
        <v>1818</v>
      </c>
      <c r="G99" s="1" t="s">
        <v>1819</v>
      </c>
      <c r="H99" s="1" t="s">
        <v>1820</v>
      </c>
      <c r="I99" s="1" t="s">
        <v>1821</v>
      </c>
      <c r="J99" s="1" t="s">
        <v>1328</v>
      </c>
      <c r="K99">
        <v>1</v>
      </c>
      <c r="L99" s="1" t="s">
        <v>1352</v>
      </c>
      <c r="M99" s="1" t="s">
        <v>1822</v>
      </c>
    </row>
    <row r="100" spans="1:13" hidden="1" x14ac:dyDescent="0.35">
      <c r="A100" s="1" t="s">
        <v>1853</v>
      </c>
      <c r="B100" s="1" t="s">
        <v>1854</v>
      </c>
      <c r="C100" s="1" t="s">
        <v>1855</v>
      </c>
      <c r="D100" s="1" t="s">
        <v>1856</v>
      </c>
      <c r="E100" s="1" t="s">
        <v>1857</v>
      </c>
      <c r="F100" s="1" t="s">
        <v>1818</v>
      </c>
      <c r="G100" s="1" t="s">
        <v>1819</v>
      </c>
      <c r="H100" s="1" t="s">
        <v>1820</v>
      </c>
      <c r="I100" s="1" t="s">
        <v>1821</v>
      </c>
      <c r="J100" s="1" t="s">
        <v>1365</v>
      </c>
      <c r="K100">
        <v>1</v>
      </c>
      <c r="L100" s="1" t="s">
        <v>1352</v>
      </c>
      <c r="M100" s="1" t="s">
        <v>1822</v>
      </c>
    </row>
    <row r="101" spans="1:13" hidden="1" x14ac:dyDescent="0.35">
      <c r="A101" s="1" t="s">
        <v>1858</v>
      </c>
      <c r="B101" s="1" t="s">
        <v>1859</v>
      </c>
      <c r="C101" s="1" t="s">
        <v>1860</v>
      </c>
      <c r="D101" s="1" t="s">
        <v>1861</v>
      </c>
      <c r="E101" s="1" t="s">
        <v>1862</v>
      </c>
      <c r="F101" s="1" t="s">
        <v>1818</v>
      </c>
      <c r="G101" s="1" t="s">
        <v>1819</v>
      </c>
      <c r="H101" s="1" t="s">
        <v>1820</v>
      </c>
      <c r="I101" s="1" t="s">
        <v>1821</v>
      </c>
      <c r="J101" s="1" t="s">
        <v>1370</v>
      </c>
      <c r="K101">
        <v>1</v>
      </c>
      <c r="L101" s="1" t="s">
        <v>1352</v>
      </c>
      <c r="M101" s="1" t="s">
        <v>1822</v>
      </c>
    </row>
    <row r="102" spans="1:13" hidden="1" x14ac:dyDescent="0.35">
      <c r="A102" s="1" t="s">
        <v>1863</v>
      </c>
      <c r="B102" s="1" t="s">
        <v>1864</v>
      </c>
      <c r="C102" s="1" t="s">
        <v>1865</v>
      </c>
      <c r="D102" s="1" t="s">
        <v>1866</v>
      </c>
      <c r="E102" s="1" t="s">
        <v>1867</v>
      </c>
      <c r="F102" s="1" t="s">
        <v>1868</v>
      </c>
      <c r="G102" s="1" t="s">
        <v>1869</v>
      </c>
      <c r="H102" s="1" t="s">
        <v>1870</v>
      </c>
      <c r="I102" s="1" t="s">
        <v>1871</v>
      </c>
      <c r="J102" s="1" t="s">
        <v>1328</v>
      </c>
      <c r="K102">
        <v>0</v>
      </c>
      <c r="L102" s="1" t="s">
        <v>1329</v>
      </c>
      <c r="M102" s="1" t="s">
        <v>1872</v>
      </c>
    </row>
    <row r="103" spans="1:13" hidden="1" x14ac:dyDescent="0.35">
      <c r="A103" s="1" t="s">
        <v>1873</v>
      </c>
      <c r="B103" s="1" t="s">
        <v>1874</v>
      </c>
      <c r="C103" s="1" t="s">
        <v>1875</v>
      </c>
      <c r="D103" s="1" t="s">
        <v>1876</v>
      </c>
      <c r="E103" s="1" t="s">
        <v>1877</v>
      </c>
      <c r="F103" s="1" t="s">
        <v>1868</v>
      </c>
      <c r="G103" s="1" t="s">
        <v>1869</v>
      </c>
      <c r="H103" s="1" t="s">
        <v>1870</v>
      </c>
      <c r="I103" s="1" t="s">
        <v>1871</v>
      </c>
      <c r="J103" s="1" t="s">
        <v>1336</v>
      </c>
      <c r="K103">
        <v>0</v>
      </c>
      <c r="L103" s="1" t="s">
        <v>1329</v>
      </c>
      <c r="M103" s="1" t="s">
        <v>1872</v>
      </c>
    </row>
    <row r="104" spans="1:13" hidden="1" x14ac:dyDescent="0.35">
      <c r="A104" s="1" t="s">
        <v>1878</v>
      </c>
      <c r="B104" s="1" t="s">
        <v>1879</v>
      </c>
      <c r="C104" s="1" t="s">
        <v>1880</v>
      </c>
      <c r="D104" s="1" t="s">
        <v>1881</v>
      </c>
      <c r="E104" s="1" t="s">
        <v>1882</v>
      </c>
      <c r="F104" s="1" t="s">
        <v>1868</v>
      </c>
      <c r="G104" s="1" t="s">
        <v>1869</v>
      </c>
      <c r="H104" s="1" t="s">
        <v>1870</v>
      </c>
      <c r="I104" s="1" t="s">
        <v>1871</v>
      </c>
      <c r="J104" s="1" t="s">
        <v>1365</v>
      </c>
      <c r="K104">
        <v>0</v>
      </c>
      <c r="L104" s="1" t="s">
        <v>1329</v>
      </c>
      <c r="M104" s="1" t="s">
        <v>1872</v>
      </c>
    </row>
    <row r="105" spans="1:13" hidden="1" x14ac:dyDescent="0.35">
      <c r="A105" s="1" t="s">
        <v>1883</v>
      </c>
      <c r="B105" s="1" t="s">
        <v>1884</v>
      </c>
      <c r="C105" s="1" t="s">
        <v>1885</v>
      </c>
      <c r="D105" s="1" t="s">
        <v>1886</v>
      </c>
      <c r="E105" s="1" t="s">
        <v>1887</v>
      </c>
      <c r="F105" s="1" t="s">
        <v>1868</v>
      </c>
      <c r="G105" s="1" t="s">
        <v>1869</v>
      </c>
      <c r="H105" s="1" t="s">
        <v>1870</v>
      </c>
      <c r="I105" s="1" t="s">
        <v>1871</v>
      </c>
      <c r="J105" s="1" t="s">
        <v>1370</v>
      </c>
      <c r="K105">
        <v>0</v>
      </c>
      <c r="L105" s="1" t="s">
        <v>1329</v>
      </c>
      <c r="M105" s="1" t="s">
        <v>1872</v>
      </c>
    </row>
    <row r="106" spans="1:13" x14ac:dyDescent="0.35">
      <c r="A106" s="1" t="s">
        <v>1888</v>
      </c>
      <c r="B106" s="1" t="s">
        <v>1889</v>
      </c>
      <c r="C106" s="1" t="s">
        <v>1890</v>
      </c>
      <c r="D106" s="1" t="s">
        <v>1891</v>
      </c>
      <c r="E106" s="1" t="s">
        <v>1892</v>
      </c>
      <c r="F106" s="1" t="s">
        <v>1868</v>
      </c>
      <c r="G106" s="1" t="s">
        <v>1869</v>
      </c>
      <c r="H106" s="1" t="s">
        <v>1870</v>
      </c>
      <c r="I106" s="1" t="s">
        <v>1871</v>
      </c>
      <c r="J106" s="1" t="s">
        <v>1342</v>
      </c>
      <c r="K106">
        <v>0</v>
      </c>
      <c r="L106" s="1" t="s">
        <v>1329</v>
      </c>
      <c r="M106" s="1" t="s">
        <v>1872</v>
      </c>
    </row>
    <row r="107" spans="1:13" hidden="1" x14ac:dyDescent="0.35">
      <c r="A107" s="1" t="s">
        <v>1893</v>
      </c>
      <c r="B107" s="1" t="s">
        <v>1894</v>
      </c>
      <c r="C107" s="1" t="s">
        <v>1895</v>
      </c>
      <c r="D107" s="1" t="s">
        <v>1896</v>
      </c>
      <c r="E107" s="1" t="s">
        <v>1897</v>
      </c>
      <c r="F107" s="1" t="s">
        <v>1868</v>
      </c>
      <c r="G107" s="1" t="s">
        <v>1869</v>
      </c>
      <c r="H107" s="1" t="s">
        <v>1870</v>
      </c>
      <c r="I107" s="1" t="s">
        <v>1871</v>
      </c>
      <c r="J107" s="1" t="s">
        <v>1328</v>
      </c>
      <c r="K107">
        <v>0</v>
      </c>
      <c r="L107" s="1" t="s">
        <v>1329</v>
      </c>
      <c r="M107" s="1" t="s">
        <v>1898</v>
      </c>
    </row>
    <row r="108" spans="1:13" hidden="1" x14ac:dyDescent="0.35">
      <c r="A108" s="1" t="s">
        <v>1899</v>
      </c>
      <c r="B108" s="1" t="s">
        <v>1900</v>
      </c>
      <c r="C108" s="1" t="s">
        <v>1901</v>
      </c>
      <c r="D108" s="1" t="s">
        <v>1902</v>
      </c>
      <c r="E108" s="1" t="s">
        <v>1903</v>
      </c>
      <c r="F108" s="1" t="s">
        <v>1868</v>
      </c>
      <c r="G108" s="1" t="s">
        <v>1869</v>
      </c>
      <c r="H108" s="1" t="s">
        <v>1870</v>
      </c>
      <c r="I108" s="1" t="s">
        <v>1871</v>
      </c>
      <c r="J108" s="1" t="s">
        <v>1365</v>
      </c>
      <c r="K108">
        <v>0</v>
      </c>
      <c r="L108" s="1" t="s">
        <v>1329</v>
      </c>
      <c r="M108" s="1" t="s">
        <v>1898</v>
      </c>
    </row>
    <row r="109" spans="1:13" hidden="1" x14ac:dyDescent="0.35">
      <c r="A109" s="1" t="s">
        <v>1904</v>
      </c>
      <c r="B109" s="1" t="s">
        <v>1905</v>
      </c>
      <c r="C109" s="1" t="s">
        <v>1906</v>
      </c>
      <c r="D109" s="1" t="s">
        <v>1907</v>
      </c>
      <c r="E109" s="1" t="s">
        <v>1908</v>
      </c>
      <c r="F109" s="1" t="s">
        <v>1868</v>
      </c>
      <c r="G109" s="1" t="s">
        <v>1869</v>
      </c>
      <c r="H109" s="1" t="s">
        <v>1870</v>
      </c>
      <c r="I109" s="1" t="s">
        <v>1871</v>
      </c>
      <c r="J109" s="1" t="s">
        <v>1370</v>
      </c>
      <c r="K109">
        <v>0</v>
      </c>
      <c r="L109" s="1" t="s">
        <v>1329</v>
      </c>
      <c r="M109" s="1" t="s">
        <v>1898</v>
      </c>
    </row>
    <row r="110" spans="1:13" hidden="1" x14ac:dyDescent="0.35">
      <c r="A110" s="1" t="s">
        <v>1909</v>
      </c>
      <c r="B110" s="1" t="s">
        <v>1910</v>
      </c>
      <c r="C110" s="1" t="s">
        <v>1911</v>
      </c>
      <c r="D110" s="1" t="s">
        <v>1912</v>
      </c>
      <c r="E110" s="1" t="s">
        <v>1913</v>
      </c>
      <c r="F110" s="1" t="s">
        <v>1789</v>
      </c>
      <c r="G110" s="1" t="s">
        <v>1790</v>
      </c>
      <c r="H110" s="1" t="s">
        <v>1791</v>
      </c>
      <c r="I110" s="1" t="s">
        <v>1792</v>
      </c>
      <c r="J110" s="1" t="s">
        <v>1336</v>
      </c>
      <c r="K110">
        <v>1</v>
      </c>
      <c r="L110" s="1" t="s">
        <v>1352</v>
      </c>
      <c r="M110" s="1" t="s">
        <v>1914</v>
      </c>
    </row>
    <row r="111" spans="1:13" x14ac:dyDescent="0.35">
      <c r="A111" s="1" t="s">
        <v>1915</v>
      </c>
      <c r="B111" s="1" t="s">
        <v>1916</v>
      </c>
      <c r="C111" s="1" t="s">
        <v>1917</v>
      </c>
      <c r="D111" s="1" t="s">
        <v>1918</v>
      </c>
      <c r="E111" s="1" t="s">
        <v>1919</v>
      </c>
      <c r="F111" s="1" t="s">
        <v>1789</v>
      </c>
      <c r="G111" s="1" t="s">
        <v>1790</v>
      </c>
      <c r="H111" s="1" t="s">
        <v>1791</v>
      </c>
      <c r="I111" s="1" t="s">
        <v>1792</v>
      </c>
      <c r="J111" s="1" t="s">
        <v>1342</v>
      </c>
      <c r="K111">
        <v>1</v>
      </c>
      <c r="L111" s="1" t="s">
        <v>1352</v>
      </c>
      <c r="M111" s="1" t="s">
        <v>1914</v>
      </c>
    </row>
    <row r="112" spans="1:13" hidden="1" x14ac:dyDescent="0.35">
      <c r="A112" s="1" t="s">
        <v>1920</v>
      </c>
      <c r="B112" s="1" t="s">
        <v>1921</v>
      </c>
      <c r="C112" s="1" t="s">
        <v>1922</v>
      </c>
      <c r="D112" s="1" t="s">
        <v>1923</v>
      </c>
      <c r="E112" s="1" t="s">
        <v>1924</v>
      </c>
      <c r="F112" s="1" t="s">
        <v>1925</v>
      </c>
      <c r="G112" s="1" t="s">
        <v>1926</v>
      </c>
      <c r="H112" s="1" t="s">
        <v>1927</v>
      </c>
      <c r="I112" s="1" t="s">
        <v>1928</v>
      </c>
      <c r="J112" s="1" t="s">
        <v>1328</v>
      </c>
      <c r="K112">
        <v>1</v>
      </c>
      <c r="L112" s="1" t="s">
        <v>1352</v>
      </c>
      <c r="M112" s="1" t="s">
        <v>1914</v>
      </c>
    </row>
    <row r="113" spans="1:13" hidden="1" x14ac:dyDescent="0.35">
      <c r="A113" s="1" t="s">
        <v>1929</v>
      </c>
      <c r="B113" s="1" t="s">
        <v>1930</v>
      </c>
      <c r="C113" s="1" t="s">
        <v>1931</v>
      </c>
      <c r="D113" s="1" t="s">
        <v>1932</v>
      </c>
      <c r="E113" s="1" t="s">
        <v>1933</v>
      </c>
      <c r="F113" s="1" t="s">
        <v>1925</v>
      </c>
      <c r="G113" s="1" t="s">
        <v>1926</v>
      </c>
      <c r="H113" s="1" t="s">
        <v>1927</v>
      </c>
      <c r="I113" s="1" t="s">
        <v>1928</v>
      </c>
      <c r="J113" s="1" t="s">
        <v>1328</v>
      </c>
      <c r="K113">
        <v>1</v>
      </c>
      <c r="L113" s="1" t="s">
        <v>1352</v>
      </c>
      <c r="M113" s="1" t="s">
        <v>1914</v>
      </c>
    </row>
    <row r="114" spans="1:13" hidden="1" x14ac:dyDescent="0.35">
      <c r="A114" s="1" t="s">
        <v>1934</v>
      </c>
      <c r="B114" s="1" t="s">
        <v>1935</v>
      </c>
      <c r="C114" s="1" t="s">
        <v>1936</v>
      </c>
      <c r="D114" s="1" t="s">
        <v>1937</v>
      </c>
      <c r="E114" s="1" t="s">
        <v>1938</v>
      </c>
      <c r="F114" s="1" t="s">
        <v>1925</v>
      </c>
      <c r="G114" s="1" t="s">
        <v>1926</v>
      </c>
      <c r="H114" s="1" t="s">
        <v>1927</v>
      </c>
      <c r="I114" s="1" t="s">
        <v>1928</v>
      </c>
      <c r="J114" s="1" t="s">
        <v>1328</v>
      </c>
      <c r="K114">
        <v>1</v>
      </c>
      <c r="L114" s="1" t="s">
        <v>1352</v>
      </c>
      <c r="M114" s="1" t="s">
        <v>1914</v>
      </c>
    </row>
    <row r="115" spans="1:13" hidden="1" x14ac:dyDescent="0.35">
      <c r="A115" s="1" t="s">
        <v>1939</v>
      </c>
      <c r="B115" s="1" t="s">
        <v>1940</v>
      </c>
      <c r="C115" s="1" t="s">
        <v>1941</v>
      </c>
      <c r="D115" s="1" t="s">
        <v>1942</v>
      </c>
      <c r="E115" s="1" t="s">
        <v>1943</v>
      </c>
      <c r="F115" s="1" t="s">
        <v>1925</v>
      </c>
      <c r="G115" s="1" t="s">
        <v>1926</v>
      </c>
      <c r="H115" s="1" t="s">
        <v>1927</v>
      </c>
      <c r="I115" s="1" t="s">
        <v>1928</v>
      </c>
      <c r="J115" s="1" t="s">
        <v>1336</v>
      </c>
      <c r="K115">
        <v>1</v>
      </c>
      <c r="L115" s="1" t="s">
        <v>1352</v>
      </c>
      <c r="M115" s="1" t="s">
        <v>1914</v>
      </c>
    </row>
    <row r="116" spans="1:13" hidden="1" x14ac:dyDescent="0.35">
      <c r="A116" s="1" t="s">
        <v>1944</v>
      </c>
      <c r="B116" s="1" t="s">
        <v>1945</v>
      </c>
      <c r="C116" s="1" t="s">
        <v>1946</v>
      </c>
      <c r="D116" s="1" t="s">
        <v>1947</v>
      </c>
      <c r="E116" s="1" t="s">
        <v>1948</v>
      </c>
      <c r="F116" s="1" t="s">
        <v>1925</v>
      </c>
      <c r="G116" s="1" t="s">
        <v>1926</v>
      </c>
      <c r="H116" s="1" t="s">
        <v>1927</v>
      </c>
      <c r="I116" s="1" t="s">
        <v>1928</v>
      </c>
      <c r="J116" s="1" t="s">
        <v>1336</v>
      </c>
      <c r="K116">
        <v>1</v>
      </c>
      <c r="L116" s="1" t="s">
        <v>1352</v>
      </c>
      <c r="M116" s="1" t="s">
        <v>1914</v>
      </c>
    </row>
    <row r="117" spans="1:13" hidden="1" x14ac:dyDescent="0.35">
      <c r="A117" s="1" t="s">
        <v>1949</v>
      </c>
      <c r="B117" s="1" t="s">
        <v>1950</v>
      </c>
      <c r="C117" s="1" t="s">
        <v>1951</v>
      </c>
      <c r="D117" s="1" t="s">
        <v>1952</v>
      </c>
      <c r="E117" s="1" t="s">
        <v>1953</v>
      </c>
      <c r="F117" s="1" t="s">
        <v>1925</v>
      </c>
      <c r="G117" s="1" t="s">
        <v>1926</v>
      </c>
      <c r="H117" s="1" t="s">
        <v>1927</v>
      </c>
      <c r="I117" s="1" t="s">
        <v>1928</v>
      </c>
      <c r="J117" s="1" t="s">
        <v>1365</v>
      </c>
      <c r="K117">
        <v>1</v>
      </c>
      <c r="L117" s="1" t="s">
        <v>1352</v>
      </c>
      <c r="M117" s="1" t="s">
        <v>1914</v>
      </c>
    </row>
    <row r="118" spans="1:13" hidden="1" x14ac:dyDescent="0.35">
      <c r="A118" s="1" t="s">
        <v>1954</v>
      </c>
      <c r="B118" s="1" t="s">
        <v>1955</v>
      </c>
      <c r="C118" s="1" t="s">
        <v>1956</v>
      </c>
      <c r="D118" s="1" t="s">
        <v>1957</v>
      </c>
      <c r="E118" s="1" t="s">
        <v>1958</v>
      </c>
      <c r="F118" s="1" t="s">
        <v>1925</v>
      </c>
      <c r="G118" s="1" t="s">
        <v>1926</v>
      </c>
      <c r="H118" s="1" t="s">
        <v>1927</v>
      </c>
      <c r="I118" s="1" t="s">
        <v>1928</v>
      </c>
      <c r="J118" s="1" t="s">
        <v>1365</v>
      </c>
      <c r="K118">
        <v>1</v>
      </c>
      <c r="L118" s="1" t="s">
        <v>1352</v>
      </c>
      <c r="M118" s="1" t="s">
        <v>1914</v>
      </c>
    </row>
    <row r="119" spans="1:13" hidden="1" x14ac:dyDescent="0.35">
      <c r="A119" s="1" t="s">
        <v>1959</v>
      </c>
      <c r="B119" s="1" t="s">
        <v>1960</v>
      </c>
      <c r="C119" s="1" t="s">
        <v>1961</v>
      </c>
      <c r="D119" s="1" t="s">
        <v>1962</v>
      </c>
      <c r="E119" s="1" t="s">
        <v>1963</v>
      </c>
      <c r="F119" s="1" t="s">
        <v>1925</v>
      </c>
      <c r="G119" s="1" t="s">
        <v>1926</v>
      </c>
      <c r="H119" s="1" t="s">
        <v>1927</v>
      </c>
      <c r="I119" s="1" t="s">
        <v>1928</v>
      </c>
      <c r="J119" s="1" t="s">
        <v>1365</v>
      </c>
      <c r="K119">
        <v>1</v>
      </c>
      <c r="L119" s="1" t="s">
        <v>1352</v>
      </c>
      <c r="M119" s="1" t="s">
        <v>1914</v>
      </c>
    </row>
    <row r="120" spans="1:13" x14ac:dyDescent="0.35">
      <c r="A120" s="1" t="s">
        <v>1964</v>
      </c>
      <c r="B120" s="1" t="s">
        <v>1965</v>
      </c>
      <c r="C120" s="1" t="s">
        <v>1966</v>
      </c>
      <c r="D120" s="1" t="s">
        <v>1967</v>
      </c>
      <c r="E120" s="1" t="s">
        <v>1968</v>
      </c>
      <c r="F120" s="1" t="s">
        <v>1925</v>
      </c>
      <c r="G120" s="1" t="s">
        <v>1926</v>
      </c>
      <c r="H120" s="1" t="s">
        <v>1927</v>
      </c>
      <c r="I120" s="1" t="s">
        <v>1928</v>
      </c>
      <c r="J120" s="1" t="s">
        <v>1342</v>
      </c>
      <c r="K120">
        <v>1</v>
      </c>
      <c r="L120" s="1" t="s">
        <v>1352</v>
      </c>
      <c r="M120" s="1" t="s">
        <v>1914</v>
      </c>
    </row>
    <row r="121" spans="1:13" hidden="1" x14ac:dyDescent="0.35">
      <c r="A121" s="1" t="s">
        <v>1969</v>
      </c>
      <c r="B121" s="1" t="s">
        <v>1970</v>
      </c>
      <c r="C121" s="1" t="s">
        <v>1971</v>
      </c>
      <c r="D121" s="1" t="s">
        <v>1972</v>
      </c>
      <c r="E121" s="1" t="s">
        <v>1973</v>
      </c>
      <c r="F121" s="1" t="s">
        <v>1925</v>
      </c>
      <c r="G121" s="1" t="s">
        <v>1926</v>
      </c>
      <c r="H121" s="1" t="s">
        <v>1927</v>
      </c>
      <c r="I121" s="1" t="s">
        <v>1928</v>
      </c>
      <c r="J121" s="1" t="s">
        <v>1370</v>
      </c>
      <c r="K121">
        <v>1</v>
      </c>
      <c r="L121" s="1" t="s">
        <v>1352</v>
      </c>
      <c r="M121" s="1" t="s">
        <v>1914</v>
      </c>
    </row>
    <row r="122" spans="1:13" hidden="1" x14ac:dyDescent="0.35">
      <c r="A122" s="1" t="s">
        <v>1974</v>
      </c>
      <c r="B122" s="1" t="s">
        <v>1975</v>
      </c>
      <c r="C122" s="1" t="s">
        <v>1976</v>
      </c>
      <c r="D122" s="1" t="s">
        <v>1977</v>
      </c>
      <c r="E122" s="1" t="s">
        <v>1978</v>
      </c>
      <c r="F122" s="1" t="s">
        <v>1925</v>
      </c>
      <c r="G122" s="1" t="s">
        <v>1926</v>
      </c>
      <c r="H122" s="1" t="s">
        <v>1927</v>
      </c>
      <c r="I122" s="1" t="s">
        <v>1928</v>
      </c>
      <c r="J122" s="1" t="s">
        <v>1370</v>
      </c>
      <c r="K122">
        <v>1</v>
      </c>
      <c r="L122" s="1" t="s">
        <v>1352</v>
      </c>
      <c r="M122" s="1" t="s">
        <v>1914</v>
      </c>
    </row>
    <row r="123" spans="1:13" hidden="1" x14ac:dyDescent="0.35">
      <c r="A123" s="1" t="s">
        <v>1979</v>
      </c>
      <c r="B123" s="1" t="s">
        <v>1980</v>
      </c>
      <c r="C123" s="1" t="s">
        <v>1981</v>
      </c>
      <c r="D123" s="1" t="s">
        <v>1982</v>
      </c>
      <c r="E123" s="1" t="s">
        <v>1983</v>
      </c>
      <c r="F123" s="1" t="s">
        <v>1925</v>
      </c>
      <c r="G123" s="1" t="s">
        <v>1926</v>
      </c>
      <c r="H123" s="1" t="s">
        <v>1927</v>
      </c>
      <c r="I123" s="1" t="s">
        <v>1928</v>
      </c>
      <c r="J123" s="1" t="s">
        <v>1370</v>
      </c>
      <c r="K123">
        <v>1</v>
      </c>
      <c r="L123" s="1" t="s">
        <v>1352</v>
      </c>
      <c r="M123" s="1" t="s">
        <v>1914</v>
      </c>
    </row>
    <row r="124" spans="1:13" hidden="1" x14ac:dyDescent="0.35">
      <c r="A124" s="1" t="s">
        <v>1984</v>
      </c>
      <c r="B124" s="1" t="s">
        <v>1985</v>
      </c>
      <c r="C124" s="1" t="s">
        <v>1986</v>
      </c>
      <c r="D124" s="1" t="s">
        <v>1987</v>
      </c>
      <c r="E124" s="1" t="s">
        <v>1988</v>
      </c>
      <c r="F124" s="1" t="s">
        <v>1925</v>
      </c>
      <c r="G124" s="1" t="s">
        <v>1926</v>
      </c>
      <c r="H124" s="1" t="s">
        <v>1927</v>
      </c>
      <c r="I124" s="1" t="s">
        <v>1928</v>
      </c>
      <c r="J124" s="1" t="s">
        <v>1328</v>
      </c>
      <c r="K124">
        <v>1</v>
      </c>
      <c r="L124" s="1" t="s">
        <v>1352</v>
      </c>
      <c r="M124" s="1" t="s">
        <v>1914</v>
      </c>
    </row>
    <row r="125" spans="1:13" hidden="1" x14ac:dyDescent="0.35">
      <c r="A125" s="1" t="s">
        <v>1989</v>
      </c>
      <c r="B125" s="1" t="s">
        <v>1990</v>
      </c>
      <c r="C125" s="1" t="s">
        <v>1991</v>
      </c>
      <c r="D125" s="1" t="s">
        <v>1992</v>
      </c>
      <c r="E125" s="1" t="s">
        <v>1993</v>
      </c>
      <c r="F125" s="1" t="s">
        <v>1925</v>
      </c>
      <c r="G125" s="1" t="s">
        <v>1926</v>
      </c>
      <c r="H125" s="1" t="s">
        <v>1927</v>
      </c>
      <c r="I125" s="1" t="s">
        <v>1928</v>
      </c>
      <c r="J125" s="1" t="s">
        <v>1328</v>
      </c>
      <c r="K125">
        <v>1</v>
      </c>
      <c r="L125" s="1" t="s">
        <v>1352</v>
      </c>
      <c r="M125" s="1" t="s">
        <v>1914</v>
      </c>
    </row>
    <row r="126" spans="1:13" hidden="1" x14ac:dyDescent="0.35">
      <c r="A126" s="1" t="s">
        <v>1994</v>
      </c>
      <c r="B126" s="1" t="s">
        <v>1995</v>
      </c>
      <c r="C126" s="1" t="s">
        <v>1996</v>
      </c>
      <c r="D126" s="1" t="s">
        <v>1997</v>
      </c>
      <c r="E126" s="1" t="s">
        <v>1998</v>
      </c>
      <c r="F126" s="1" t="s">
        <v>1925</v>
      </c>
      <c r="G126" s="1" t="s">
        <v>1926</v>
      </c>
      <c r="H126" s="1" t="s">
        <v>1927</v>
      </c>
      <c r="I126" s="1" t="s">
        <v>1928</v>
      </c>
      <c r="J126" s="1" t="s">
        <v>1328</v>
      </c>
      <c r="K126">
        <v>1</v>
      </c>
      <c r="L126" s="1" t="s">
        <v>1352</v>
      </c>
      <c r="M126" s="1" t="s">
        <v>1914</v>
      </c>
    </row>
    <row r="127" spans="1:13" hidden="1" x14ac:dyDescent="0.35">
      <c r="A127" s="1" t="s">
        <v>1999</v>
      </c>
      <c r="B127" s="1" t="s">
        <v>2000</v>
      </c>
      <c r="C127" s="1" t="s">
        <v>2001</v>
      </c>
      <c r="D127" s="1" t="s">
        <v>2002</v>
      </c>
      <c r="E127" s="1" t="s">
        <v>2003</v>
      </c>
      <c r="F127" s="1" t="s">
        <v>1925</v>
      </c>
      <c r="G127" s="1" t="s">
        <v>1926</v>
      </c>
      <c r="H127" s="1" t="s">
        <v>1927</v>
      </c>
      <c r="I127" s="1" t="s">
        <v>1928</v>
      </c>
      <c r="J127" s="1" t="s">
        <v>1336</v>
      </c>
      <c r="K127">
        <v>1</v>
      </c>
      <c r="L127" s="1" t="s">
        <v>1352</v>
      </c>
      <c r="M127" s="1" t="s">
        <v>1914</v>
      </c>
    </row>
    <row r="128" spans="1:13" hidden="1" x14ac:dyDescent="0.35">
      <c r="A128" s="1" t="s">
        <v>2004</v>
      </c>
      <c r="B128" s="1" t="s">
        <v>2005</v>
      </c>
      <c r="C128" s="1" t="s">
        <v>2006</v>
      </c>
      <c r="D128" s="1" t="s">
        <v>2007</v>
      </c>
      <c r="E128" s="1" t="s">
        <v>2008</v>
      </c>
      <c r="F128" s="1" t="s">
        <v>1925</v>
      </c>
      <c r="G128" s="1" t="s">
        <v>1926</v>
      </c>
      <c r="H128" s="1" t="s">
        <v>1927</v>
      </c>
      <c r="I128" s="1" t="s">
        <v>1928</v>
      </c>
      <c r="J128" s="1" t="s">
        <v>1336</v>
      </c>
      <c r="K128">
        <v>1</v>
      </c>
      <c r="L128" s="1" t="s">
        <v>1352</v>
      </c>
      <c r="M128" s="1" t="s">
        <v>1914</v>
      </c>
    </row>
    <row r="129" spans="1:13" hidden="1" x14ac:dyDescent="0.35">
      <c r="A129" s="1" t="s">
        <v>2009</v>
      </c>
      <c r="B129" s="1" t="s">
        <v>2010</v>
      </c>
      <c r="C129" s="1" t="s">
        <v>2011</v>
      </c>
      <c r="D129" s="1" t="s">
        <v>2012</v>
      </c>
      <c r="E129" s="1" t="s">
        <v>2013</v>
      </c>
      <c r="F129" s="1" t="s">
        <v>1925</v>
      </c>
      <c r="G129" s="1" t="s">
        <v>1926</v>
      </c>
      <c r="H129" s="1" t="s">
        <v>1927</v>
      </c>
      <c r="I129" s="1" t="s">
        <v>1928</v>
      </c>
      <c r="J129" s="1" t="s">
        <v>1336</v>
      </c>
      <c r="K129">
        <v>1</v>
      </c>
      <c r="L129" s="1" t="s">
        <v>1352</v>
      </c>
      <c r="M129" s="1" t="s">
        <v>1914</v>
      </c>
    </row>
    <row r="130" spans="1:13" hidden="1" x14ac:dyDescent="0.35">
      <c r="A130" s="1" t="s">
        <v>2014</v>
      </c>
      <c r="B130" s="1" t="s">
        <v>2015</v>
      </c>
      <c r="C130" s="1" t="s">
        <v>2016</v>
      </c>
      <c r="D130" s="1" t="s">
        <v>2017</v>
      </c>
      <c r="E130" s="1" t="s">
        <v>2018</v>
      </c>
      <c r="F130" s="1" t="s">
        <v>1925</v>
      </c>
      <c r="G130" s="1" t="s">
        <v>1926</v>
      </c>
      <c r="H130" s="1" t="s">
        <v>1927</v>
      </c>
      <c r="I130" s="1" t="s">
        <v>1928</v>
      </c>
      <c r="J130" s="1" t="s">
        <v>1365</v>
      </c>
      <c r="K130">
        <v>1</v>
      </c>
      <c r="L130" s="1" t="s">
        <v>1352</v>
      </c>
      <c r="M130" s="1" t="s">
        <v>1914</v>
      </c>
    </row>
    <row r="131" spans="1:13" hidden="1" x14ac:dyDescent="0.35">
      <c r="A131" s="1" t="s">
        <v>2019</v>
      </c>
      <c r="B131" s="1" t="s">
        <v>2020</v>
      </c>
      <c r="C131" s="1" t="s">
        <v>2021</v>
      </c>
      <c r="D131" s="1" t="s">
        <v>2022</v>
      </c>
      <c r="E131" s="1" t="s">
        <v>2023</v>
      </c>
      <c r="F131" s="1" t="s">
        <v>1925</v>
      </c>
      <c r="G131" s="1" t="s">
        <v>1926</v>
      </c>
      <c r="H131" s="1" t="s">
        <v>1927</v>
      </c>
      <c r="I131" s="1" t="s">
        <v>1928</v>
      </c>
      <c r="J131" s="1" t="s">
        <v>1365</v>
      </c>
      <c r="K131">
        <v>1</v>
      </c>
      <c r="L131" s="1" t="s">
        <v>1352</v>
      </c>
      <c r="M131" s="1" t="s">
        <v>1914</v>
      </c>
    </row>
    <row r="132" spans="1:13" hidden="1" x14ac:dyDescent="0.35">
      <c r="A132" s="1" t="s">
        <v>2024</v>
      </c>
      <c r="B132" s="1" t="s">
        <v>2025</v>
      </c>
      <c r="C132" s="1" t="s">
        <v>2026</v>
      </c>
      <c r="D132" s="1" t="s">
        <v>2027</v>
      </c>
      <c r="E132" s="1" t="s">
        <v>2028</v>
      </c>
      <c r="F132" s="1" t="s">
        <v>1925</v>
      </c>
      <c r="G132" s="1" t="s">
        <v>1926</v>
      </c>
      <c r="H132" s="1" t="s">
        <v>1927</v>
      </c>
      <c r="I132" s="1" t="s">
        <v>1928</v>
      </c>
      <c r="J132" s="1" t="s">
        <v>1365</v>
      </c>
      <c r="K132">
        <v>1</v>
      </c>
      <c r="L132" s="1" t="s">
        <v>1352</v>
      </c>
      <c r="M132" s="1" t="s">
        <v>1914</v>
      </c>
    </row>
    <row r="133" spans="1:13" x14ac:dyDescent="0.35">
      <c r="A133" s="1" t="s">
        <v>2029</v>
      </c>
      <c r="B133" s="1" t="s">
        <v>2030</v>
      </c>
      <c r="C133" s="1" t="s">
        <v>2031</v>
      </c>
      <c r="D133" s="1" t="s">
        <v>2032</v>
      </c>
      <c r="E133" s="1" t="s">
        <v>2033</v>
      </c>
      <c r="F133" s="1" t="s">
        <v>1925</v>
      </c>
      <c r="G133" s="1" t="s">
        <v>1926</v>
      </c>
      <c r="H133" s="1" t="s">
        <v>1927</v>
      </c>
      <c r="I133" s="1" t="s">
        <v>1928</v>
      </c>
      <c r="J133" s="1" t="s">
        <v>1342</v>
      </c>
      <c r="K133">
        <v>1</v>
      </c>
      <c r="L133" s="1" t="s">
        <v>1352</v>
      </c>
      <c r="M133" s="1" t="s">
        <v>1914</v>
      </c>
    </row>
    <row r="134" spans="1:13" hidden="1" x14ac:dyDescent="0.35">
      <c r="A134" s="1" t="s">
        <v>2034</v>
      </c>
      <c r="B134" s="1" t="s">
        <v>2035</v>
      </c>
      <c r="C134" s="1" t="s">
        <v>2036</v>
      </c>
      <c r="D134" s="1" t="s">
        <v>2037</v>
      </c>
      <c r="E134" s="1" t="s">
        <v>2038</v>
      </c>
      <c r="F134" s="1" t="s">
        <v>1925</v>
      </c>
      <c r="G134" s="1" t="s">
        <v>1926</v>
      </c>
      <c r="H134" s="1" t="s">
        <v>1927</v>
      </c>
      <c r="I134" s="1" t="s">
        <v>1928</v>
      </c>
      <c r="J134" s="1" t="s">
        <v>1370</v>
      </c>
      <c r="K134">
        <v>1</v>
      </c>
      <c r="L134" s="1" t="s">
        <v>1352</v>
      </c>
      <c r="M134" s="1" t="s">
        <v>1914</v>
      </c>
    </row>
    <row r="135" spans="1:13" hidden="1" x14ac:dyDescent="0.35">
      <c r="A135" s="1" t="s">
        <v>2039</v>
      </c>
      <c r="B135" s="1" t="s">
        <v>2040</v>
      </c>
      <c r="C135" s="1" t="s">
        <v>2041</v>
      </c>
      <c r="D135" s="1" t="s">
        <v>2042</v>
      </c>
      <c r="E135" s="1" t="s">
        <v>2043</v>
      </c>
      <c r="F135" s="1" t="s">
        <v>1925</v>
      </c>
      <c r="G135" s="1" t="s">
        <v>1926</v>
      </c>
      <c r="H135" s="1" t="s">
        <v>1927</v>
      </c>
      <c r="I135" s="1" t="s">
        <v>1928</v>
      </c>
      <c r="J135" s="1" t="s">
        <v>1370</v>
      </c>
      <c r="K135">
        <v>1</v>
      </c>
      <c r="L135" s="1" t="s">
        <v>1352</v>
      </c>
      <c r="M135" s="1" t="s">
        <v>1914</v>
      </c>
    </row>
    <row r="136" spans="1:13" hidden="1" x14ac:dyDescent="0.35">
      <c r="A136" s="1" t="s">
        <v>2044</v>
      </c>
      <c r="B136" s="1" t="s">
        <v>2045</v>
      </c>
      <c r="C136" s="1" t="s">
        <v>2046</v>
      </c>
      <c r="D136" s="1" t="s">
        <v>2047</v>
      </c>
      <c r="E136" s="1" t="s">
        <v>2048</v>
      </c>
      <c r="F136" s="1" t="s">
        <v>1925</v>
      </c>
      <c r="G136" s="1" t="s">
        <v>1926</v>
      </c>
      <c r="H136" s="1" t="s">
        <v>1927</v>
      </c>
      <c r="I136" s="1" t="s">
        <v>1928</v>
      </c>
      <c r="J136" s="1" t="s">
        <v>1370</v>
      </c>
      <c r="K136">
        <v>1</v>
      </c>
      <c r="L136" s="1" t="s">
        <v>1352</v>
      </c>
      <c r="M136" s="1" t="s">
        <v>1914</v>
      </c>
    </row>
    <row r="137" spans="1:13" x14ac:dyDescent="0.35">
      <c r="A137" s="1" t="s">
        <v>2049</v>
      </c>
      <c r="B137" s="1" t="s">
        <v>2050</v>
      </c>
      <c r="C137" s="1" t="s">
        <v>2051</v>
      </c>
      <c r="D137" s="1" t="s">
        <v>2052</v>
      </c>
      <c r="E137" s="1" t="s">
        <v>2053</v>
      </c>
      <c r="F137" s="1" t="s">
        <v>1925</v>
      </c>
      <c r="G137" s="1" t="s">
        <v>1926</v>
      </c>
      <c r="H137" s="1" t="s">
        <v>1927</v>
      </c>
      <c r="I137" s="1" t="s">
        <v>1928</v>
      </c>
      <c r="J137" s="1" t="s">
        <v>1342</v>
      </c>
      <c r="K137">
        <v>1</v>
      </c>
      <c r="L137" s="1" t="s">
        <v>1352</v>
      </c>
      <c r="M137" s="1" t="s">
        <v>1914</v>
      </c>
    </row>
    <row r="138" spans="1:13" hidden="1" x14ac:dyDescent="0.35">
      <c r="A138" s="1" t="s">
        <v>2054</v>
      </c>
      <c r="B138" s="1" t="s">
        <v>2055</v>
      </c>
      <c r="C138" s="1" t="s">
        <v>2056</v>
      </c>
      <c r="D138" s="1" t="s">
        <v>2057</v>
      </c>
      <c r="E138" s="1" t="s">
        <v>2058</v>
      </c>
      <c r="F138" s="1" t="s">
        <v>1789</v>
      </c>
      <c r="G138" s="1" t="s">
        <v>1790</v>
      </c>
      <c r="H138" s="1" t="s">
        <v>1791</v>
      </c>
      <c r="I138" s="1" t="s">
        <v>1792</v>
      </c>
      <c r="J138" s="1" t="s">
        <v>1328</v>
      </c>
      <c r="K138">
        <v>1</v>
      </c>
      <c r="L138" s="1" t="s">
        <v>1352</v>
      </c>
      <c r="M138" s="1" t="s">
        <v>1898</v>
      </c>
    </row>
    <row r="139" spans="1:13" hidden="1" x14ac:dyDescent="0.35">
      <c r="A139" s="1" t="s">
        <v>2059</v>
      </c>
      <c r="B139" s="1" t="s">
        <v>2060</v>
      </c>
      <c r="C139" s="1" t="s">
        <v>2061</v>
      </c>
      <c r="D139" s="1" t="s">
        <v>2062</v>
      </c>
      <c r="E139" s="1" t="s">
        <v>2063</v>
      </c>
      <c r="F139" s="1" t="s">
        <v>1789</v>
      </c>
      <c r="G139" s="1" t="s">
        <v>1790</v>
      </c>
      <c r="H139" s="1" t="s">
        <v>1791</v>
      </c>
      <c r="I139" s="1" t="s">
        <v>1792</v>
      </c>
      <c r="J139" s="1" t="s">
        <v>1336</v>
      </c>
      <c r="K139">
        <v>1</v>
      </c>
      <c r="L139" s="1" t="s">
        <v>1352</v>
      </c>
      <c r="M139" s="1" t="s">
        <v>1898</v>
      </c>
    </row>
    <row r="140" spans="1:13" hidden="1" x14ac:dyDescent="0.35">
      <c r="A140" s="1" t="s">
        <v>2064</v>
      </c>
      <c r="B140" s="1" t="s">
        <v>2065</v>
      </c>
      <c r="C140" s="1" t="s">
        <v>2066</v>
      </c>
      <c r="D140" s="1" t="s">
        <v>2067</v>
      </c>
      <c r="E140" s="1" t="s">
        <v>2068</v>
      </c>
      <c r="F140" s="1" t="s">
        <v>1789</v>
      </c>
      <c r="G140" s="1" t="s">
        <v>1790</v>
      </c>
      <c r="H140" s="1" t="s">
        <v>1791</v>
      </c>
      <c r="I140" s="1" t="s">
        <v>1792</v>
      </c>
      <c r="J140" s="1" t="s">
        <v>1365</v>
      </c>
      <c r="K140">
        <v>1</v>
      </c>
      <c r="L140" s="1" t="s">
        <v>1352</v>
      </c>
      <c r="M140" s="1" t="s">
        <v>1898</v>
      </c>
    </row>
    <row r="141" spans="1:13" x14ac:dyDescent="0.35">
      <c r="A141" s="1" t="s">
        <v>2069</v>
      </c>
      <c r="B141" s="1" t="s">
        <v>2070</v>
      </c>
      <c r="C141" s="1" t="s">
        <v>2071</v>
      </c>
      <c r="D141" s="1" t="s">
        <v>2072</v>
      </c>
      <c r="E141" s="1" t="s">
        <v>2073</v>
      </c>
      <c r="F141" s="1" t="s">
        <v>1789</v>
      </c>
      <c r="G141" s="1" t="s">
        <v>1790</v>
      </c>
      <c r="H141" s="1" t="s">
        <v>1791</v>
      </c>
      <c r="I141" s="1" t="s">
        <v>1792</v>
      </c>
      <c r="J141" s="1" t="s">
        <v>1342</v>
      </c>
      <c r="K141">
        <v>1</v>
      </c>
      <c r="L141" s="1" t="s">
        <v>1352</v>
      </c>
      <c r="M141" s="1" t="s">
        <v>1898</v>
      </c>
    </row>
    <row r="142" spans="1:13" hidden="1" x14ac:dyDescent="0.35">
      <c r="A142" s="1" t="s">
        <v>2074</v>
      </c>
      <c r="B142" s="1" t="s">
        <v>2075</v>
      </c>
      <c r="C142" s="1" t="s">
        <v>2076</v>
      </c>
      <c r="D142" s="1" t="s">
        <v>2077</v>
      </c>
      <c r="E142" s="1" t="s">
        <v>2078</v>
      </c>
      <c r="F142" s="1" t="s">
        <v>1789</v>
      </c>
      <c r="G142" s="1" t="s">
        <v>1790</v>
      </c>
      <c r="H142" s="1" t="s">
        <v>1791</v>
      </c>
      <c r="I142" s="1" t="s">
        <v>1792</v>
      </c>
      <c r="J142" s="1" t="s">
        <v>1370</v>
      </c>
      <c r="K142">
        <v>1</v>
      </c>
      <c r="L142" s="1" t="s">
        <v>1352</v>
      </c>
      <c r="M142" s="1" t="s">
        <v>1898</v>
      </c>
    </row>
    <row r="143" spans="1:13" hidden="1" x14ac:dyDescent="0.35">
      <c r="A143" s="1" t="s">
        <v>2079</v>
      </c>
      <c r="B143" s="1" t="s">
        <v>2080</v>
      </c>
      <c r="C143" s="1" t="s">
        <v>2081</v>
      </c>
      <c r="D143" s="1" t="s">
        <v>2082</v>
      </c>
      <c r="E143" s="1" t="s">
        <v>2083</v>
      </c>
      <c r="F143" s="1" t="s">
        <v>1325</v>
      </c>
      <c r="G143" s="1" t="s">
        <v>1326</v>
      </c>
      <c r="H143" s="1" t="s">
        <v>1327</v>
      </c>
      <c r="I143" s="1" t="s">
        <v>1325</v>
      </c>
      <c r="J143" s="1" t="s">
        <v>1328</v>
      </c>
      <c r="K143">
        <v>0</v>
      </c>
      <c r="L143" s="1" t="s">
        <v>1329</v>
      </c>
      <c r="M143" s="1" t="s">
        <v>1872</v>
      </c>
    </row>
    <row r="144" spans="1:13" hidden="1" x14ac:dyDescent="0.35">
      <c r="A144" s="1" t="s">
        <v>2084</v>
      </c>
      <c r="B144" s="1" t="s">
        <v>2085</v>
      </c>
      <c r="C144" s="1" t="s">
        <v>2086</v>
      </c>
      <c r="D144" s="1" t="s">
        <v>2087</v>
      </c>
      <c r="E144" s="1" t="s">
        <v>2088</v>
      </c>
      <c r="F144" s="1" t="s">
        <v>1325</v>
      </c>
      <c r="G144" s="1" t="s">
        <v>1326</v>
      </c>
      <c r="H144" s="1" t="s">
        <v>1327</v>
      </c>
      <c r="I144" s="1" t="s">
        <v>1325</v>
      </c>
      <c r="J144" s="1" t="s">
        <v>1336</v>
      </c>
      <c r="K144">
        <v>0</v>
      </c>
      <c r="L144" s="1" t="s">
        <v>1329</v>
      </c>
      <c r="M144" s="1" t="s">
        <v>1872</v>
      </c>
    </row>
    <row r="145" spans="1:13" x14ac:dyDescent="0.35">
      <c r="A145" s="1" t="s">
        <v>2089</v>
      </c>
      <c r="B145" s="1" t="s">
        <v>2090</v>
      </c>
      <c r="C145" s="1" t="s">
        <v>2091</v>
      </c>
      <c r="D145" s="1" t="s">
        <v>2092</v>
      </c>
      <c r="E145" s="1" t="s">
        <v>2091</v>
      </c>
      <c r="F145" s="1" t="s">
        <v>1325</v>
      </c>
      <c r="G145" s="1" t="s">
        <v>1326</v>
      </c>
      <c r="H145" s="1" t="s">
        <v>1327</v>
      </c>
      <c r="I145" s="1" t="s">
        <v>1325</v>
      </c>
      <c r="J145" s="1" t="s">
        <v>1342</v>
      </c>
      <c r="K145">
        <v>0</v>
      </c>
      <c r="L145" s="1" t="s">
        <v>1329</v>
      </c>
      <c r="M145" s="1" t="s">
        <v>2093</v>
      </c>
    </row>
    <row r="146" spans="1:13" hidden="1" x14ac:dyDescent="0.35">
      <c r="A146" s="1" t="s">
        <v>2094</v>
      </c>
      <c r="B146" s="1" t="s">
        <v>2095</v>
      </c>
      <c r="C146" s="1" t="s">
        <v>2096</v>
      </c>
      <c r="D146" s="1" t="s">
        <v>2097</v>
      </c>
      <c r="E146" s="1" t="s">
        <v>2098</v>
      </c>
      <c r="F146" s="1" t="s">
        <v>1925</v>
      </c>
      <c r="G146" s="1" t="s">
        <v>1926</v>
      </c>
      <c r="H146" s="1" t="s">
        <v>1927</v>
      </c>
      <c r="I146" s="1" t="s">
        <v>1928</v>
      </c>
      <c r="J146" s="1" t="s">
        <v>1328</v>
      </c>
      <c r="K146">
        <v>1</v>
      </c>
      <c r="L146" s="1" t="s">
        <v>1352</v>
      </c>
      <c r="M146" s="1" t="s">
        <v>1914</v>
      </c>
    </row>
    <row r="147" spans="1:13" hidden="1" x14ac:dyDescent="0.35">
      <c r="A147" s="1" t="s">
        <v>2099</v>
      </c>
      <c r="B147" s="1" t="s">
        <v>2100</v>
      </c>
      <c r="C147" s="1" t="s">
        <v>2101</v>
      </c>
      <c r="D147" s="1" t="s">
        <v>2102</v>
      </c>
      <c r="E147" s="1" t="s">
        <v>2103</v>
      </c>
      <c r="F147" s="1" t="s">
        <v>1925</v>
      </c>
      <c r="G147" s="1" t="s">
        <v>1926</v>
      </c>
      <c r="H147" s="1" t="s">
        <v>1927</v>
      </c>
      <c r="I147" s="1" t="s">
        <v>1928</v>
      </c>
      <c r="J147" s="1" t="s">
        <v>1365</v>
      </c>
      <c r="K147">
        <v>1</v>
      </c>
      <c r="L147" s="1" t="s">
        <v>1352</v>
      </c>
      <c r="M147" s="1" t="s">
        <v>1914</v>
      </c>
    </row>
    <row r="148" spans="1:13" hidden="1" x14ac:dyDescent="0.35">
      <c r="A148" s="1" t="s">
        <v>2104</v>
      </c>
      <c r="B148" s="1" t="s">
        <v>2105</v>
      </c>
      <c r="C148" s="1" t="s">
        <v>2106</v>
      </c>
      <c r="D148" s="1" t="s">
        <v>2107</v>
      </c>
      <c r="E148" s="1" t="s">
        <v>2108</v>
      </c>
      <c r="F148" s="1" t="s">
        <v>1925</v>
      </c>
      <c r="G148" s="1" t="s">
        <v>1926</v>
      </c>
      <c r="H148" s="1" t="s">
        <v>1927</v>
      </c>
      <c r="I148" s="1" t="s">
        <v>1928</v>
      </c>
      <c r="J148" s="1" t="s">
        <v>1370</v>
      </c>
      <c r="K148">
        <v>1</v>
      </c>
      <c r="L148" s="1" t="s">
        <v>1352</v>
      </c>
      <c r="M148" s="1" t="s">
        <v>1914</v>
      </c>
    </row>
    <row r="149" spans="1:13" x14ac:dyDescent="0.35">
      <c r="A149" s="1" t="s">
        <v>2109</v>
      </c>
      <c r="B149" s="1" t="s">
        <v>2110</v>
      </c>
      <c r="C149" s="1" t="s">
        <v>2111</v>
      </c>
      <c r="D149" s="1" t="s">
        <v>2112</v>
      </c>
      <c r="E149" s="1" t="s">
        <v>2113</v>
      </c>
      <c r="F149" s="1" t="s">
        <v>1925</v>
      </c>
      <c r="G149" s="1" t="s">
        <v>1926</v>
      </c>
      <c r="H149" s="1" t="s">
        <v>1927</v>
      </c>
      <c r="I149" s="1" t="s">
        <v>1928</v>
      </c>
      <c r="J149" s="1" t="s">
        <v>1342</v>
      </c>
      <c r="K149">
        <v>1</v>
      </c>
      <c r="L149" s="1" t="s">
        <v>1352</v>
      </c>
      <c r="M149" s="1" t="s">
        <v>1914</v>
      </c>
    </row>
    <row r="150" spans="1:13" hidden="1" x14ac:dyDescent="0.35">
      <c r="A150" s="1" t="s">
        <v>2114</v>
      </c>
      <c r="B150" s="1" t="s">
        <v>2115</v>
      </c>
      <c r="C150" s="1" t="s">
        <v>2116</v>
      </c>
      <c r="D150" s="1" t="s">
        <v>2117</v>
      </c>
      <c r="E150" s="1" t="s">
        <v>2118</v>
      </c>
      <c r="F150" s="1" t="s">
        <v>1925</v>
      </c>
      <c r="G150" s="1" t="s">
        <v>1926</v>
      </c>
      <c r="H150" s="1" t="s">
        <v>1927</v>
      </c>
      <c r="I150" s="1" t="s">
        <v>1928</v>
      </c>
      <c r="J150" s="1" t="s">
        <v>1328</v>
      </c>
      <c r="K150">
        <v>1</v>
      </c>
      <c r="L150" s="1" t="s">
        <v>1352</v>
      </c>
      <c r="M150" s="1" t="s">
        <v>1914</v>
      </c>
    </row>
    <row r="151" spans="1:13" hidden="1" x14ac:dyDescent="0.35">
      <c r="A151" s="1" t="s">
        <v>2119</v>
      </c>
      <c r="B151" s="1" t="s">
        <v>2120</v>
      </c>
      <c r="C151" s="1" t="s">
        <v>2121</v>
      </c>
      <c r="D151" s="1" t="s">
        <v>2122</v>
      </c>
      <c r="E151" s="1" t="s">
        <v>2123</v>
      </c>
      <c r="F151" s="1" t="s">
        <v>1925</v>
      </c>
      <c r="G151" s="1" t="s">
        <v>1926</v>
      </c>
      <c r="H151" s="1" t="s">
        <v>1927</v>
      </c>
      <c r="I151" s="1" t="s">
        <v>1928</v>
      </c>
      <c r="J151" s="1" t="s">
        <v>1365</v>
      </c>
      <c r="K151">
        <v>1</v>
      </c>
      <c r="L151" s="1" t="s">
        <v>1352</v>
      </c>
      <c r="M151" s="1" t="s">
        <v>1914</v>
      </c>
    </row>
    <row r="152" spans="1:13" hidden="1" x14ac:dyDescent="0.35">
      <c r="A152" s="1" t="s">
        <v>2124</v>
      </c>
      <c r="B152" s="1" t="s">
        <v>2125</v>
      </c>
      <c r="C152" s="1" t="s">
        <v>2126</v>
      </c>
      <c r="D152" s="1" t="s">
        <v>2127</v>
      </c>
      <c r="E152" s="1" t="s">
        <v>2128</v>
      </c>
      <c r="F152" s="1" t="s">
        <v>1925</v>
      </c>
      <c r="G152" s="1" t="s">
        <v>1926</v>
      </c>
      <c r="H152" s="1" t="s">
        <v>1927</v>
      </c>
      <c r="I152" s="1" t="s">
        <v>1928</v>
      </c>
      <c r="J152" s="1" t="s">
        <v>1370</v>
      </c>
      <c r="K152">
        <v>1</v>
      </c>
      <c r="L152" s="1" t="s">
        <v>1352</v>
      </c>
      <c r="M152" s="1" t="s">
        <v>1914</v>
      </c>
    </row>
    <row r="153" spans="1:13" hidden="1" x14ac:dyDescent="0.35">
      <c r="A153" s="1" t="s">
        <v>2129</v>
      </c>
      <c r="B153" s="1" t="s">
        <v>2130</v>
      </c>
      <c r="C153" s="1" t="s">
        <v>2131</v>
      </c>
      <c r="D153" s="1" t="s">
        <v>2132</v>
      </c>
      <c r="E153" s="1" t="s">
        <v>2133</v>
      </c>
      <c r="F153" s="1" t="s">
        <v>1925</v>
      </c>
      <c r="G153" s="1" t="s">
        <v>1926</v>
      </c>
      <c r="H153" s="1" t="s">
        <v>1927</v>
      </c>
      <c r="I153" s="1" t="s">
        <v>1928</v>
      </c>
      <c r="J153" s="1" t="s">
        <v>1328</v>
      </c>
      <c r="K153">
        <v>1</v>
      </c>
      <c r="L153" s="1" t="s">
        <v>1352</v>
      </c>
      <c r="M153" s="1" t="s">
        <v>1914</v>
      </c>
    </row>
    <row r="154" spans="1:13" hidden="1" x14ac:dyDescent="0.35">
      <c r="A154" s="1" t="s">
        <v>2134</v>
      </c>
      <c r="B154" s="1" t="s">
        <v>2135</v>
      </c>
      <c r="C154" s="1" t="s">
        <v>2136</v>
      </c>
      <c r="D154" s="1" t="s">
        <v>2137</v>
      </c>
      <c r="E154" s="1" t="s">
        <v>2138</v>
      </c>
      <c r="F154" s="1" t="s">
        <v>1925</v>
      </c>
      <c r="G154" s="1" t="s">
        <v>1926</v>
      </c>
      <c r="H154" s="1" t="s">
        <v>1927</v>
      </c>
      <c r="I154" s="1" t="s">
        <v>1928</v>
      </c>
      <c r="J154" s="1" t="s">
        <v>1365</v>
      </c>
      <c r="K154">
        <v>1</v>
      </c>
      <c r="L154" s="1" t="s">
        <v>1352</v>
      </c>
      <c r="M154" s="1" t="s">
        <v>1914</v>
      </c>
    </row>
    <row r="155" spans="1:13" hidden="1" x14ac:dyDescent="0.35">
      <c r="A155" s="1" t="s">
        <v>2139</v>
      </c>
      <c r="B155" s="1" t="s">
        <v>2140</v>
      </c>
      <c r="C155" s="1" t="s">
        <v>2141</v>
      </c>
      <c r="D155" s="1" t="s">
        <v>2142</v>
      </c>
      <c r="E155" s="1" t="s">
        <v>2143</v>
      </c>
      <c r="F155" s="1" t="s">
        <v>1925</v>
      </c>
      <c r="G155" s="1" t="s">
        <v>1926</v>
      </c>
      <c r="H155" s="1" t="s">
        <v>1927</v>
      </c>
      <c r="I155" s="1" t="s">
        <v>1928</v>
      </c>
      <c r="J155" s="1" t="s">
        <v>1370</v>
      </c>
      <c r="K155">
        <v>1</v>
      </c>
      <c r="L155" s="1" t="s">
        <v>1352</v>
      </c>
      <c r="M155" s="1" t="s">
        <v>1914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E3962-0202-442B-87AE-E6E67D7807BD}">
  <sheetPr filterMode="1"/>
  <dimension ref="A1:X193"/>
  <sheetViews>
    <sheetView tabSelected="1" workbookViewId="0">
      <selection activeCell="B102" sqref="B102:K102"/>
    </sheetView>
  </sheetViews>
  <sheetFormatPr defaultRowHeight="14.5" x14ac:dyDescent="0.35"/>
  <cols>
    <col min="1" max="1" width="68.81640625" customWidth="1"/>
    <col min="2" max="2" width="19.81640625" customWidth="1"/>
    <col min="3" max="3" width="28.1796875" customWidth="1"/>
    <col min="4" max="4" width="60.453125" customWidth="1"/>
    <col min="5" max="5" width="11.90625" customWidth="1"/>
    <col min="6" max="6" width="54.81640625" customWidth="1"/>
    <col min="7" max="7" width="18.1796875" customWidth="1"/>
    <col min="8" max="8" width="20" customWidth="1"/>
    <col min="9" max="9" width="19.453125" customWidth="1"/>
    <col min="10" max="10" width="19.90625" customWidth="1"/>
    <col min="11" max="11" width="15.6328125" customWidth="1"/>
    <col min="12" max="12" width="11.90625" customWidth="1"/>
    <col min="19" max="20" width="13.6328125" customWidth="1"/>
  </cols>
  <sheetData>
    <row r="1" spans="1:24" x14ac:dyDescent="0.35">
      <c r="F1" s="7">
        <v>5</v>
      </c>
      <c r="G1" s="7">
        <v>9</v>
      </c>
      <c r="H1" s="7">
        <v>10</v>
      </c>
      <c r="I1" s="7">
        <v>11</v>
      </c>
      <c r="J1" s="7">
        <v>12</v>
      </c>
      <c r="K1" s="7">
        <v>13</v>
      </c>
      <c r="L1" s="4"/>
      <c r="P1" s="5" t="s">
        <v>2250</v>
      </c>
      <c r="Q1" s="5" t="s">
        <v>2251</v>
      </c>
      <c r="R1" s="6"/>
      <c r="S1" s="5" t="s">
        <v>2244</v>
      </c>
      <c r="T1" s="5" t="s">
        <v>2245</v>
      </c>
      <c r="U1" s="5" t="s">
        <v>2241</v>
      </c>
      <c r="V1" s="6"/>
      <c r="W1" s="5" t="s">
        <v>2242</v>
      </c>
      <c r="X1" s="5" t="s">
        <v>2243</v>
      </c>
    </row>
    <row r="2" spans="1:24" x14ac:dyDescent="0.35">
      <c r="A2" s="4" t="s">
        <v>2248</v>
      </c>
      <c r="B2" s="12" t="s">
        <v>2093</v>
      </c>
      <c r="C2" s="12" t="s">
        <v>2246</v>
      </c>
      <c r="D2" s="12" t="s">
        <v>2247</v>
      </c>
      <c r="E2" s="11" t="s">
        <v>2249</v>
      </c>
      <c r="F2" s="13" t="str" cm="1">
        <f t="array" ref="F2">INDEX(ogd_smn_meta_parameters[#Headers],F$1)</f>
        <v>parameter_description_en</v>
      </c>
      <c r="G2" s="13" t="str" cm="1">
        <f t="array" ref="G2">INDEX(ogd_smn_meta_parameters[#Headers],G$1)</f>
        <v>parameter_group_en</v>
      </c>
      <c r="H2" s="18" t="str" cm="1">
        <f t="array" ref="H2">INDEX(ogd_smn_meta_parameters[#Headers],H$1)</f>
        <v>parameter_granularity</v>
      </c>
      <c r="I2" s="18" t="str" cm="1">
        <f t="array" ref="I2">INDEX(ogd_smn_meta_parameters[#Headers],I$1)</f>
        <v>parameter_decimals</v>
      </c>
      <c r="J2" s="18" t="str" cm="1">
        <f t="array" ref="J2">INDEX(ogd_smn_meta_parameters[#Headers],J$1)</f>
        <v>parameter_datatype</v>
      </c>
      <c r="K2" s="18" t="str" cm="1">
        <f t="array" ref="K2">INDEX(ogd_smn_meta_parameters[#Headers],K$1)</f>
        <v>parameter_unit</v>
      </c>
    </row>
    <row r="3" spans="1:24" hidden="1" x14ac:dyDescent="0.35">
      <c r="A3" t="s">
        <v>2146</v>
      </c>
    </row>
    <row r="4" spans="1:24" hidden="1" x14ac:dyDescent="0.35">
      <c r="A4" t="s">
        <v>2147</v>
      </c>
    </row>
    <row r="5" spans="1:24" hidden="1" x14ac:dyDescent="0.35">
      <c r="A5" t="s">
        <v>2148</v>
      </c>
    </row>
    <row r="6" spans="1:24" x14ac:dyDescent="0.35">
      <c r="A6" t="s">
        <v>2149</v>
      </c>
      <c r="B6" s="16" t="str">
        <f>MID($A6,P6,Q6)</f>
        <v>station_abbr</v>
      </c>
      <c r="C6" s="16" t="str">
        <f>MID($A7,T6,U6)</f>
        <v>StationAbbr</v>
      </c>
      <c r="D6" s="16" t="str">
        <f>MID($A4,W6,X6)</f>
        <v>Station abbreviation</v>
      </c>
      <c r="E6" s="15" t="e">
        <f>VLOOKUP($B6,ogd_smn_meta_parameters[],1,FALSE)</f>
        <v>#N/A</v>
      </c>
      <c r="F6" s="15"/>
      <c r="G6" s="15"/>
      <c r="H6" s="19"/>
      <c r="I6" s="19"/>
      <c r="J6" s="19"/>
      <c r="K6" s="19"/>
      <c r="P6">
        <f>FIND(P$1,$A6)+LEN(P$1)</f>
        <v>16</v>
      </c>
      <c r="Q6">
        <f>FIND(Q$1,$A6)-P6</f>
        <v>12</v>
      </c>
      <c r="S6">
        <f>FIND(S$1,$A7)+LEN(S$1)</f>
        <v>16</v>
      </c>
      <c r="T6">
        <f>FIND(T$1,$A7,S6)+LEN(T$1)</f>
        <v>23</v>
      </c>
      <c r="U6">
        <f>FIND(U$1,$A7)-T6</f>
        <v>11</v>
      </c>
      <c r="W6">
        <f>FIND(W$1,$A4)+LEN(W$1)</f>
        <v>13</v>
      </c>
      <c r="X6">
        <f>FIND(X$1,$A4)-W6</f>
        <v>20</v>
      </c>
    </row>
    <row r="7" spans="1:24" hidden="1" x14ac:dyDescent="0.35">
      <c r="A7" t="s">
        <v>2150</v>
      </c>
    </row>
    <row r="8" spans="1:24" hidden="1" x14ac:dyDescent="0.35"/>
    <row r="9" spans="1:24" hidden="1" x14ac:dyDescent="0.35">
      <c r="A9" t="s">
        <v>2146</v>
      </c>
    </row>
    <row r="10" spans="1:24" hidden="1" x14ac:dyDescent="0.35">
      <c r="A10" t="s">
        <v>2151</v>
      </c>
    </row>
    <row r="11" spans="1:24" hidden="1" x14ac:dyDescent="0.35">
      <c r="A11" t="s">
        <v>2148</v>
      </c>
    </row>
    <row r="12" spans="1:24" x14ac:dyDescent="0.35">
      <c r="A12" t="s">
        <v>2152</v>
      </c>
      <c r="B12" s="16" t="str">
        <f>MID($A12,P12,Q12)</f>
        <v>reference_timestamp</v>
      </c>
      <c r="C12" s="16" t="str">
        <f>MID($A13,T12,U12)</f>
        <v>ReferenceTimestamp</v>
      </c>
      <c r="D12" s="16" t="str">
        <f>MID($A10,W12,X12)</f>
        <v>Reference timestamp of the measurement</v>
      </c>
      <c r="E12" s="15" t="e">
        <f>VLOOKUP($B12,ogd_smn_meta_parameters[],1,FALSE)</f>
        <v>#N/A</v>
      </c>
      <c r="F12" s="15"/>
      <c r="G12" s="15"/>
      <c r="H12" s="19"/>
      <c r="I12" s="19"/>
      <c r="J12" s="19"/>
      <c r="K12" s="19"/>
      <c r="P12">
        <f t="shared" ref="P12" si="0">FIND(P$1,$A12)+LEN(P$1)</f>
        <v>16</v>
      </c>
      <c r="Q12">
        <f t="shared" ref="Q12" si="1">FIND(Q$1,$A12)-P12</f>
        <v>19</v>
      </c>
      <c r="S12">
        <f t="shared" ref="S12" si="2">FIND(S$1,$A13)+LEN(S$1)</f>
        <v>16</v>
      </c>
      <c r="T12">
        <f t="shared" ref="T12" si="3">FIND(T$1,$A13,S12)+LEN(T$1)</f>
        <v>25</v>
      </c>
      <c r="U12">
        <f t="shared" ref="U12" si="4">FIND(U$1,$A13)-T12</f>
        <v>18</v>
      </c>
      <c r="W12">
        <f t="shared" ref="W12" si="5">FIND(W$1,$A10)+LEN(W$1)</f>
        <v>13</v>
      </c>
      <c r="X12">
        <f t="shared" ref="X12" si="6">FIND(X$1,$A10)-W12</f>
        <v>38</v>
      </c>
    </row>
    <row r="13" spans="1:24" hidden="1" x14ac:dyDescent="0.35">
      <c r="A13" t="s">
        <v>2153</v>
      </c>
    </row>
    <row r="14" spans="1:24" hidden="1" x14ac:dyDescent="0.35"/>
    <row r="15" spans="1:24" hidden="1" x14ac:dyDescent="0.35">
      <c r="A15" t="s">
        <v>2146</v>
      </c>
    </row>
    <row r="16" spans="1:24" hidden="1" x14ac:dyDescent="0.35">
      <c r="A16" t="s">
        <v>2154</v>
      </c>
    </row>
    <row r="17" spans="1:24" hidden="1" x14ac:dyDescent="0.35">
      <c r="A17" t="s">
        <v>2148</v>
      </c>
    </row>
    <row r="18" spans="1:24" x14ac:dyDescent="0.35">
      <c r="A18" t="s">
        <v>2155</v>
      </c>
      <c r="B18" s="14" t="str">
        <f>MID($A18,P18,Q18)</f>
        <v>tre200s0</v>
      </c>
      <c r="C18" s="14" t="str">
        <f>MID($A19,T18,U18)</f>
        <v>Temperature2m</v>
      </c>
      <c r="D18" s="14" t="str">
        <f>MID($A16,W18,X18)</f>
        <v>Air temperature 2 m above ground; current value in °C</v>
      </c>
      <c r="E18" s="9" t="str">
        <f>VLOOKUP($B18,ogd_smn_meta_parameters[],1,FALSE)</f>
        <v>tre200s0</v>
      </c>
      <c r="F18" s="20" t="str">
        <f>VLOOKUP($B18,ogd_smn_meta_parameters[],F$1,FALSE)</f>
        <v>Air temperature 2 m above ground; current value</v>
      </c>
      <c r="G18" s="20" t="str">
        <f>VLOOKUP($B18,ogd_smn_meta_parameters[],G$1,FALSE)</f>
        <v>Temperature</v>
      </c>
      <c r="H18" s="21" t="str">
        <f>VLOOKUP($B18,ogd_smn_meta_parameters[],H$1,FALSE)</f>
        <v>T</v>
      </c>
      <c r="I18" s="21">
        <f>VLOOKUP($B18,ogd_smn_meta_parameters[],I$1,FALSE)</f>
        <v>1</v>
      </c>
      <c r="J18" s="21" t="str">
        <f>VLOOKUP($B18,ogd_smn_meta_parameters[],J$1,FALSE)</f>
        <v>Float</v>
      </c>
      <c r="K18" s="21" t="str">
        <f>VLOOKUP($B18,ogd_smn_meta_parameters[],K$1,FALSE)</f>
        <v>°C</v>
      </c>
      <c r="P18">
        <f t="shared" ref="P18" si="7">FIND(P$1,$A18)+LEN(P$1)</f>
        <v>16</v>
      </c>
      <c r="Q18">
        <f t="shared" ref="Q18" si="8">FIND(Q$1,$A18)-P18</f>
        <v>8</v>
      </c>
      <c r="S18">
        <f t="shared" ref="S18" si="9">FIND(S$1,$A19)+LEN(S$1)</f>
        <v>16</v>
      </c>
      <c r="T18">
        <f t="shared" ref="T18" si="10">FIND(T$1,$A19,S18)+LEN(T$1)</f>
        <v>24</v>
      </c>
      <c r="U18">
        <f t="shared" ref="U18" si="11">FIND(U$1,$A19)-T18</f>
        <v>13</v>
      </c>
      <c r="W18">
        <f t="shared" ref="W18" si="12">FIND(W$1,$A16)+LEN(W$1)</f>
        <v>13</v>
      </c>
      <c r="X18">
        <f t="shared" ref="X18" si="13">FIND(X$1,$A16)-W18</f>
        <v>53</v>
      </c>
    </row>
    <row r="19" spans="1:24" hidden="1" x14ac:dyDescent="0.35">
      <c r="A19" t="s">
        <v>2156</v>
      </c>
    </row>
    <row r="20" spans="1:24" hidden="1" x14ac:dyDescent="0.35"/>
    <row r="21" spans="1:24" hidden="1" x14ac:dyDescent="0.35">
      <c r="A21" t="s">
        <v>2146</v>
      </c>
    </row>
    <row r="22" spans="1:24" hidden="1" x14ac:dyDescent="0.35">
      <c r="A22" t="s">
        <v>2157</v>
      </c>
    </row>
    <row r="23" spans="1:24" hidden="1" x14ac:dyDescent="0.35">
      <c r="A23" t="s">
        <v>2148</v>
      </c>
    </row>
    <row r="24" spans="1:24" x14ac:dyDescent="0.35">
      <c r="A24" t="s">
        <v>2158</v>
      </c>
      <c r="B24" s="10" t="str">
        <f>MID($A24,P24,Q24)</f>
        <v>tre005s0</v>
      </c>
      <c r="C24" s="10" t="str">
        <f>MID($A25,T24,U24)</f>
        <v>Temperature5cm</v>
      </c>
      <c r="D24" s="10" t="str">
        <f>MID($A22,W24,X24)</f>
        <v>Air temperature at 5 cm above grass; current value in °C</v>
      </c>
      <c r="E24" s="9" t="str">
        <f>VLOOKUP($B24,ogd_smn_meta_parameters[],1,FALSE)</f>
        <v>tre005s0</v>
      </c>
      <c r="F24" s="8" t="str">
        <f>VLOOKUP($B24,ogd_smn_meta_parameters[],F$1,FALSE)</f>
        <v>Air temperature at 5 cm above grass; current value</v>
      </c>
      <c r="G24" s="8" t="str">
        <f>VLOOKUP($B24,ogd_smn_meta_parameters[],G$1,FALSE)</f>
        <v>Temperature</v>
      </c>
      <c r="H24" s="17" t="str">
        <f>VLOOKUP($B24,ogd_smn_meta_parameters[],H$1,FALSE)</f>
        <v>T</v>
      </c>
      <c r="I24" s="17">
        <f>VLOOKUP($B24,ogd_smn_meta_parameters[],I$1,FALSE)</f>
        <v>1</v>
      </c>
      <c r="J24" s="17" t="str">
        <f>VLOOKUP($B24,ogd_smn_meta_parameters[],J$1,FALSE)</f>
        <v>Float</v>
      </c>
      <c r="K24" s="17" t="str">
        <f>VLOOKUP($B24,ogd_smn_meta_parameters[],K$1,FALSE)</f>
        <v>°C</v>
      </c>
      <c r="P24">
        <f t="shared" ref="P24" si="14">FIND(P$1,$A24)+LEN(P$1)</f>
        <v>16</v>
      </c>
      <c r="Q24">
        <f t="shared" ref="Q24" si="15">FIND(Q$1,$A24)-P24</f>
        <v>8</v>
      </c>
      <c r="S24">
        <f t="shared" ref="S24" si="16">FIND(S$1,$A25)+LEN(S$1)</f>
        <v>16</v>
      </c>
      <c r="T24">
        <f t="shared" ref="T24" si="17">FIND(T$1,$A25,S24)+LEN(T$1)</f>
        <v>24</v>
      </c>
      <c r="U24">
        <f t="shared" ref="U24" si="18">FIND(U$1,$A25)-T24</f>
        <v>14</v>
      </c>
      <c r="W24">
        <f t="shared" ref="W24" si="19">FIND(W$1,$A22)+LEN(W$1)</f>
        <v>13</v>
      </c>
      <c r="X24">
        <f t="shared" ref="X24" si="20">FIND(X$1,$A22)-W24</f>
        <v>56</v>
      </c>
    </row>
    <row r="25" spans="1:24" hidden="1" x14ac:dyDescent="0.35">
      <c r="A25" t="s">
        <v>2159</v>
      </c>
    </row>
    <row r="26" spans="1:24" hidden="1" x14ac:dyDescent="0.35"/>
    <row r="27" spans="1:24" hidden="1" x14ac:dyDescent="0.35">
      <c r="A27" t="s">
        <v>2146</v>
      </c>
    </row>
    <row r="28" spans="1:24" hidden="1" x14ac:dyDescent="0.35">
      <c r="A28" t="s">
        <v>2160</v>
      </c>
    </row>
    <row r="29" spans="1:24" hidden="1" x14ac:dyDescent="0.35">
      <c r="A29" t="s">
        <v>2148</v>
      </c>
    </row>
    <row r="30" spans="1:24" x14ac:dyDescent="0.35">
      <c r="A30" t="s">
        <v>2161</v>
      </c>
      <c r="B30" s="10" t="str">
        <f>MID($A30,P30,Q30)</f>
        <v>tresurs0</v>
      </c>
      <c r="C30" s="10" t="str">
        <f>MID($A31,T30,U30)</f>
        <v>TemperatureSurface</v>
      </c>
      <c r="D30" s="10" t="str">
        <f>MID($A28,W30,X30)</f>
        <v>Air temperature at surface; current value in °C</v>
      </c>
      <c r="E30" s="9" t="str">
        <f>VLOOKUP($B30,ogd_smn_meta_parameters[],1,FALSE)</f>
        <v>tresurs0</v>
      </c>
      <c r="F30" s="8" t="str">
        <f>VLOOKUP($B30,ogd_smn_meta_parameters[],F$1,FALSE)</f>
        <v>Air temperature at surface; current value</v>
      </c>
      <c r="G30" s="8" t="str">
        <f>VLOOKUP($B30,ogd_smn_meta_parameters[],G$1,FALSE)</f>
        <v>Temperature</v>
      </c>
      <c r="H30" s="17" t="str">
        <f>VLOOKUP($B30,ogd_smn_meta_parameters[],H$1,FALSE)</f>
        <v>T</v>
      </c>
      <c r="I30" s="17">
        <f>VLOOKUP($B30,ogd_smn_meta_parameters[],I$1,FALSE)</f>
        <v>1</v>
      </c>
      <c r="J30" s="17" t="str">
        <f>VLOOKUP($B30,ogd_smn_meta_parameters[],J$1,FALSE)</f>
        <v>Float</v>
      </c>
      <c r="K30" s="17" t="str">
        <f>VLOOKUP($B30,ogd_smn_meta_parameters[],K$1,FALSE)</f>
        <v>°C</v>
      </c>
      <c r="P30">
        <f t="shared" ref="P30" si="21">FIND(P$1,$A30)+LEN(P$1)</f>
        <v>16</v>
      </c>
      <c r="Q30">
        <f t="shared" ref="Q30" si="22">FIND(Q$1,$A30)-P30</f>
        <v>8</v>
      </c>
      <c r="S30">
        <f t="shared" ref="S30" si="23">FIND(S$1,$A31)+LEN(S$1)</f>
        <v>16</v>
      </c>
      <c r="T30">
        <f t="shared" ref="T30" si="24">FIND(T$1,$A31,S30)+LEN(T$1)</f>
        <v>24</v>
      </c>
      <c r="U30">
        <f t="shared" ref="U30" si="25">FIND(U$1,$A31)-T30</f>
        <v>18</v>
      </c>
      <c r="W30">
        <f t="shared" ref="W30" si="26">FIND(W$1,$A28)+LEN(W$1)</f>
        <v>13</v>
      </c>
      <c r="X30">
        <f t="shared" ref="X30" si="27">FIND(X$1,$A28)-W30</f>
        <v>47</v>
      </c>
    </row>
    <row r="31" spans="1:24" hidden="1" x14ac:dyDescent="0.35">
      <c r="A31" t="s">
        <v>2162</v>
      </c>
    </row>
    <row r="32" spans="1:24" hidden="1" x14ac:dyDescent="0.35"/>
    <row r="33" spans="1:24" hidden="1" x14ac:dyDescent="0.35">
      <c r="A33" t="s">
        <v>2146</v>
      </c>
    </row>
    <row r="34" spans="1:24" hidden="1" x14ac:dyDescent="0.35">
      <c r="A34" t="s">
        <v>2163</v>
      </c>
    </row>
    <row r="35" spans="1:24" hidden="1" x14ac:dyDescent="0.35">
      <c r="A35" t="s">
        <v>2148</v>
      </c>
    </row>
    <row r="36" spans="1:24" x14ac:dyDescent="0.35">
      <c r="A36" t="s">
        <v>2164</v>
      </c>
      <c r="B36" s="10" t="str">
        <f>MID($A36,P36,Q36)</f>
        <v>xchills0</v>
      </c>
      <c r="C36" s="10" t="str">
        <f>MID($A37,T36,U36)</f>
        <v>WindChill</v>
      </c>
      <c r="D36" s="10" t="str">
        <f>MID($A34,W36,X36)</f>
        <v>Chill temperature; current value in °C</v>
      </c>
      <c r="E36" s="9" t="str">
        <f>VLOOKUP($B36,ogd_smn_meta_parameters[],1,FALSE)</f>
        <v>xchills0</v>
      </c>
      <c r="F36" s="8" t="str">
        <f>VLOOKUP($B36,ogd_smn_meta_parameters[],F$1,FALSE)</f>
        <v>Chill temperature; current value</v>
      </c>
      <c r="G36" s="8" t="str">
        <f>VLOOKUP($B36,ogd_smn_meta_parameters[],G$1,FALSE)</f>
        <v>Temperature</v>
      </c>
      <c r="H36" s="17" t="str">
        <f>VLOOKUP($B36,ogd_smn_meta_parameters[],H$1,FALSE)</f>
        <v>T</v>
      </c>
      <c r="I36" s="17">
        <f>VLOOKUP($B36,ogd_smn_meta_parameters[],I$1,FALSE)</f>
        <v>1</v>
      </c>
      <c r="J36" s="17" t="str">
        <f>VLOOKUP($B36,ogd_smn_meta_parameters[],J$1,FALSE)</f>
        <v>Float</v>
      </c>
      <c r="K36" s="17" t="str">
        <f>VLOOKUP($B36,ogd_smn_meta_parameters[],K$1,FALSE)</f>
        <v>°C</v>
      </c>
      <c r="P36">
        <f t="shared" ref="P36" si="28">FIND(P$1,$A36)+LEN(P$1)</f>
        <v>16</v>
      </c>
      <c r="Q36">
        <f t="shared" ref="Q36" si="29">FIND(Q$1,$A36)-P36</f>
        <v>8</v>
      </c>
      <c r="S36">
        <f t="shared" ref="S36" si="30">FIND(S$1,$A37)+LEN(S$1)</f>
        <v>16</v>
      </c>
      <c r="T36">
        <f t="shared" ref="T36" si="31">FIND(T$1,$A37,S36)+LEN(T$1)</f>
        <v>24</v>
      </c>
      <c r="U36">
        <f t="shared" ref="U36" si="32">FIND(U$1,$A37)-T36</f>
        <v>9</v>
      </c>
      <c r="W36">
        <f t="shared" ref="W36" si="33">FIND(W$1,$A34)+LEN(W$1)</f>
        <v>13</v>
      </c>
      <c r="X36">
        <f t="shared" ref="X36" si="34">FIND(X$1,$A34)-W36</f>
        <v>38</v>
      </c>
    </row>
    <row r="37" spans="1:24" hidden="1" x14ac:dyDescent="0.35">
      <c r="A37" t="s">
        <v>2165</v>
      </c>
    </row>
    <row r="38" spans="1:24" hidden="1" x14ac:dyDescent="0.35"/>
    <row r="39" spans="1:24" hidden="1" x14ac:dyDescent="0.35">
      <c r="A39" t="s">
        <v>2146</v>
      </c>
    </row>
    <row r="40" spans="1:24" hidden="1" x14ac:dyDescent="0.35">
      <c r="A40" t="s">
        <v>2166</v>
      </c>
    </row>
    <row r="41" spans="1:24" hidden="1" x14ac:dyDescent="0.35">
      <c r="A41" t="s">
        <v>2148</v>
      </c>
    </row>
    <row r="42" spans="1:24" x14ac:dyDescent="0.35">
      <c r="A42" t="s">
        <v>2167</v>
      </c>
      <c r="B42" s="10" t="str">
        <f>MID($A42,P42,Q42)</f>
        <v>ure200s0</v>
      </c>
      <c r="C42" s="10" t="str">
        <f>MID($A43,T42,U42)</f>
        <v>RelativeHumidity2m</v>
      </c>
      <c r="D42" s="10" t="str">
        <f>MID($A40,W42,X42)</f>
        <v>Relative air humidity 2 m above ground; current value in %</v>
      </c>
      <c r="E42" s="9" t="str">
        <f>VLOOKUP($B42,ogd_smn_meta_parameters[],1,FALSE)</f>
        <v>ure200s0</v>
      </c>
      <c r="F42" s="8" t="str">
        <f>VLOOKUP($B42,ogd_smn_meta_parameters[],F$1,FALSE)</f>
        <v>Relative air humidity 2 m above ground; current value</v>
      </c>
      <c r="G42" s="8" t="str">
        <f>VLOOKUP($B42,ogd_smn_meta_parameters[],G$1,FALSE)</f>
        <v>Humidity</v>
      </c>
      <c r="H42" s="17" t="str">
        <f>VLOOKUP($B42,ogd_smn_meta_parameters[],H$1,FALSE)</f>
        <v>T</v>
      </c>
      <c r="I42" s="17">
        <f>VLOOKUP($B42,ogd_smn_meta_parameters[],I$1,FALSE)</f>
        <v>1</v>
      </c>
      <c r="J42" s="17" t="str">
        <f>VLOOKUP($B42,ogd_smn_meta_parameters[],J$1,FALSE)</f>
        <v>Float</v>
      </c>
      <c r="K42" s="17" t="str">
        <f>VLOOKUP($B42,ogd_smn_meta_parameters[],K$1,FALSE)</f>
        <v>%</v>
      </c>
      <c r="P42">
        <f t="shared" ref="P42" si="35">FIND(P$1,$A42)+LEN(P$1)</f>
        <v>16</v>
      </c>
      <c r="Q42">
        <f t="shared" ref="Q42" si="36">FIND(Q$1,$A42)-P42</f>
        <v>8</v>
      </c>
      <c r="S42">
        <f t="shared" ref="S42" si="37">FIND(S$1,$A43)+LEN(S$1)</f>
        <v>16</v>
      </c>
      <c r="T42">
        <f t="shared" ref="T42" si="38">FIND(T$1,$A43,S42)+LEN(T$1)</f>
        <v>24</v>
      </c>
      <c r="U42">
        <f t="shared" ref="U42" si="39">FIND(U$1,$A43)-T42</f>
        <v>18</v>
      </c>
      <c r="W42">
        <f t="shared" ref="W42" si="40">FIND(W$1,$A40)+LEN(W$1)</f>
        <v>13</v>
      </c>
      <c r="X42">
        <f t="shared" ref="X42" si="41">FIND(X$1,$A40)-W42</f>
        <v>58</v>
      </c>
    </row>
    <row r="43" spans="1:24" hidden="1" x14ac:dyDescent="0.35">
      <c r="A43" t="s">
        <v>2168</v>
      </c>
    </row>
    <row r="44" spans="1:24" hidden="1" x14ac:dyDescent="0.35"/>
    <row r="45" spans="1:24" hidden="1" x14ac:dyDescent="0.35">
      <c r="A45" t="s">
        <v>2146</v>
      </c>
    </row>
    <row r="46" spans="1:24" hidden="1" x14ac:dyDescent="0.35">
      <c r="A46" t="s">
        <v>2169</v>
      </c>
    </row>
    <row r="47" spans="1:24" hidden="1" x14ac:dyDescent="0.35">
      <c r="A47" t="s">
        <v>2148</v>
      </c>
    </row>
    <row r="48" spans="1:24" x14ac:dyDescent="0.35">
      <c r="A48" t="s">
        <v>2170</v>
      </c>
      <c r="B48" s="10" t="str">
        <f>MID($A48,P48,Q48)</f>
        <v>tde200s0</v>
      </c>
      <c r="C48" s="10" t="str">
        <f>MID($A49,T48,U48)</f>
        <v>DewPoint2m</v>
      </c>
      <c r="D48" s="10" t="str">
        <f>MID($A46,W48,X48)</f>
        <v>Dew point 2 m above ground; current value in °C</v>
      </c>
      <c r="E48" s="9" t="str">
        <f>VLOOKUP($B48,ogd_smn_meta_parameters[],1,FALSE)</f>
        <v>tde200s0</v>
      </c>
      <c r="F48" s="8" t="str">
        <f>VLOOKUP($B48,ogd_smn_meta_parameters[],F$1,FALSE)</f>
        <v>Dew point 2 m above ground; current value</v>
      </c>
      <c r="G48" s="8" t="str">
        <f>VLOOKUP($B48,ogd_smn_meta_parameters[],G$1,FALSE)</f>
        <v>Humidity</v>
      </c>
      <c r="H48" s="17" t="str">
        <f>VLOOKUP($B48,ogd_smn_meta_parameters[],H$1,FALSE)</f>
        <v>T</v>
      </c>
      <c r="I48" s="17">
        <f>VLOOKUP($B48,ogd_smn_meta_parameters[],I$1,FALSE)</f>
        <v>1</v>
      </c>
      <c r="J48" s="17" t="str">
        <f>VLOOKUP($B48,ogd_smn_meta_parameters[],J$1,FALSE)</f>
        <v>Float</v>
      </c>
      <c r="K48" s="17" t="str">
        <f>VLOOKUP($B48,ogd_smn_meta_parameters[],K$1,FALSE)</f>
        <v>°C</v>
      </c>
      <c r="P48">
        <f t="shared" ref="P48" si="42">FIND(P$1,$A48)+LEN(P$1)</f>
        <v>16</v>
      </c>
      <c r="Q48">
        <f t="shared" ref="Q48" si="43">FIND(Q$1,$A48)-P48</f>
        <v>8</v>
      </c>
      <c r="S48">
        <f t="shared" ref="S48" si="44">FIND(S$1,$A49)+LEN(S$1)</f>
        <v>16</v>
      </c>
      <c r="T48">
        <f t="shared" ref="T48" si="45">FIND(T$1,$A49,S48)+LEN(T$1)</f>
        <v>24</v>
      </c>
      <c r="U48">
        <f t="shared" ref="U48" si="46">FIND(U$1,$A49)-T48</f>
        <v>10</v>
      </c>
      <c r="W48">
        <f t="shared" ref="W48" si="47">FIND(W$1,$A46)+LEN(W$1)</f>
        <v>13</v>
      </c>
      <c r="X48">
        <f t="shared" ref="X48" si="48">FIND(X$1,$A46)-W48</f>
        <v>47</v>
      </c>
    </row>
    <row r="49" spans="1:24" hidden="1" x14ac:dyDescent="0.35">
      <c r="A49" t="s">
        <v>2171</v>
      </c>
    </row>
    <row r="50" spans="1:24" hidden="1" x14ac:dyDescent="0.35"/>
    <row r="51" spans="1:24" hidden="1" x14ac:dyDescent="0.35">
      <c r="A51" t="s">
        <v>2146</v>
      </c>
    </row>
    <row r="52" spans="1:24" hidden="1" x14ac:dyDescent="0.35">
      <c r="A52" t="s">
        <v>2172</v>
      </c>
    </row>
    <row r="53" spans="1:24" hidden="1" x14ac:dyDescent="0.35">
      <c r="A53" t="s">
        <v>2148</v>
      </c>
    </row>
    <row r="54" spans="1:24" x14ac:dyDescent="0.35">
      <c r="A54" t="s">
        <v>2173</v>
      </c>
      <c r="B54" s="10" t="str">
        <f>MID($A54,P54,Q54)</f>
        <v>pva200s0</v>
      </c>
      <c r="C54" s="10" t="str">
        <f>MID($A55,T54,U54)</f>
        <v>VaporPressure2m</v>
      </c>
      <c r="D54" s="10" t="str">
        <f>MID($A52,W54,X54)</f>
        <v>Vapour pressure 2 m above ground; current value in hPa</v>
      </c>
      <c r="E54" s="9" t="str">
        <f>VLOOKUP($B54,ogd_smn_meta_parameters[],1,FALSE)</f>
        <v>pva200s0</v>
      </c>
      <c r="F54" s="8" t="str">
        <f>VLOOKUP($B54,ogd_smn_meta_parameters[],F$1,FALSE)</f>
        <v>Vapour pressure 2 m above ground; current value</v>
      </c>
      <c r="G54" s="8" t="str">
        <f>VLOOKUP($B54,ogd_smn_meta_parameters[],G$1,FALSE)</f>
        <v>Humidity</v>
      </c>
      <c r="H54" s="17" t="str">
        <f>VLOOKUP($B54,ogd_smn_meta_parameters[],H$1,FALSE)</f>
        <v>T</v>
      </c>
      <c r="I54" s="17">
        <f>VLOOKUP($B54,ogd_smn_meta_parameters[],I$1,FALSE)</f>
        <v>1</v>
      </c>
      <c r="J54" s="17" t="str">
        <f>VLOOKUP($B54,ogd_smn_meta_parameters[],J$1,FALSE)</f>
        <v>Float</v>
      </c>
      <c r="K54" s="17" t="str">
        <f>VLOOKUP($B54,ogd_smn_meta_parameters[],K$1,FALSE)</f>
        <v>hPa</v>
      </c>
      <c r="P54">
        <f t="shared" ref="P54" si="49">FIND(P$1,$A54)+LEN(P$1)</f>
        <v>16</v>
      </c>
      <c r="Q54">
        <f t="shared" ref="Q54" si="50">FIND(Q$1,$A54)-P54</f>
        <v>8</v>
      </c>
      <c r="S54">
        <f t="shared" ref="S54" si="51">FIND(S$1,$A55)+LEN(S$1)</f>
        <v>16</v>
      </c>
      <c r="T54">
        <f t="shared" ref="T54" si="52">FIND(T$1,$A55,S54)+LEN(T$1)</f>
        <v>24</v>
      </c>
      <c r="U54">
        <f t="shared" ref="U54" si="53">FIND(U$1,$A55)-T54</f>
        <v>15</v>
      </c>
      <c r="W54">
        <f t="shared" ref="W54" si="54">FIND(W$1,$A52)+LEN(W$1)</f>
        <v>13</v>
      </c>
      <c r="X54">
        <f t="shared" ref="X54" si="55">FIND(X$1,$A52)-W54</f>
        <v>54</v>
      </c>
    </row>
    <row r="55" spans="1:24" hidden="1" x14ac:dyDescent="0.35">
      <c r="A55" t="s">
        <v>2174</v>
      </c>
    </row>
    <row r="56" spans="1:24" hidden="1" x14ac:dyDescent="0.35"/>
    <row r="57" spans="1:24" hidden="1" x14ac:dyDescent="0.35">
      <c r="A57" t="s">
        <v>2146</v>
      </c>
    </row>
    <row r="58" spans="1:24" hidden="1" x14ac:dyDescent="0.35">
      <c r="A58" t="s">
        <v>2175</v>
      </c>
    </row>
    <row r="59" spans="1:24" hidden="1" x14ac:dyDescent="0.35">
      <c r="A59" t="s">
        <v>2148</v>
      </c>
    </row>
    <row r="60" spans="1:24" x14ac:dyDescent="0.35">
      <c r="A60" t="s">
        <v>2176</v>
      </c>
      <c r="B60" s="10" t="str">
        <f>MID($A60,P60,Q60)</f>
        <v>prestas0</v>
      </c>
      <c r="C60" s="10" t="str">
        <f>MID($A61,T60,U60)</f>
        <v>PressureAtStation</v>
      </c>
      <c r="D60" s="10" t="str">
        <f>MID($A58,W60,X60)</f>
        <v>Atmospheric pressure at barometric altitude (QFE); current value in hPa</v>
      </c>
      <c r="E60" s="9" t="str">
        <f>VLOOKUP($B60,ogd_smn_meta_parameters[],1,FALSE)</f>
        <v>prestas0</v>
      </c>
      <c r="F60" s="8" t="str">
        <f>VLOOKUP($B60,ogd_smn_meta_parameters[],F$1,FALSE)</f>
        <v>Atmospheric pressure at barometric altitude (QFE); current value</v>
      </c>
      <c r="G60" s="8" t="str">
        <f>VLOOKUP($B60,ogd_smn_meta_parameters[],G$1,FALSE)</f>
        <v>Pressure</v>
      </c>
      <c r="H60" s="17" t="str">
        <f>VLOOKUP($B60,ogd_smn_meta_parameters[],H$1,FALSE)</f>
        <v>T</v>
      </c>
      <c r="I60" s="17">
        <f>VLOOKUP($B60,ogd_smn_meta_parameters[],I$1,FALSE)</f>
        <v>1</v>
      </c>
      <c r="J60" s="17" t="str">
        <f>VLOOKUP($B60,ogd_smn_meta_parameters[],J$1,FALSE)</f>
        <v>Float</v>
      </c>
      <c r="K60" s="17" t="str">
        <f>VLOOKUP($B60,ogd_smn_meta_parameters[],K$1,FALSE)</f>
        <v>hPa</v>
      </c>
      <c r="P60">
        <f t="shared" ref="P60" si="56">FIND(P$1,$A60)+LEN(P$1)</f>
        <v>16</v>
      </c>
      <c r="Q60">
        <f t="shared" ref="Q60" si="57">FIND(Q$1,$A60)-P60</f>
        <v>8</v>
      </c>
      <c r="S60">
        <f t="shared" ref="S60" si="58">FIND(S$1,$A61)+LEN(S$1)</f>
        <v>16</v>
      </c>
      <c r="T60">
        <f t="shared" ref="T60" si="59">FIND(T$1,$A61,S60)+LEN(T$1)</f>
        <v>24</v>
      </c>
      <c r="U60">
        <f t="shared" ref="U60" si="60">FIND(U$1,$A61)-T60</f>
        <v>17</v>
      </c>
      <c r="W60">
        <f t="shared" ref="W60" si="61">FIND(W$1,$A58)+LEN(W$1)</f>
        <v>13</v>
      </c>
      <c r="X60">
        <f t="shared" ref="X60" si="62">FIND(X$1,$A58)-W60</f>
        <v>71</v>
      </c>
    </row>
    <row r="61" spans="1:24" hidden="1" x14ac:dyDescent="0.35">
      <c r="A61" t="s">
        <v>2177</v>
      </c>
    </row>
    <row r="62" spans="1:24" hidden="1" x14ac:dyDescent="0.35"/>
    <row r="63" spans="1:24" hidden="1" x14ac:dyDescent="0.35">
      <c r="A63" t="s">
        <v>2146</v>
      </c>
    </row>
    <row r="64" spans="1:24" hidden="1" x14ac:dyDescent="0.35">
      <c r="A64" t="s">
        <v>2178</v>
      </c>
    </row>
    <row r="65" spans="1:24" hidden="1" x14ac:dyDescent="0.35">
      <c r="A65" t="s">
        <v>2148</v>
      </c>
    </row>
    <row r="66" spans="1:24" x14ac:dyDescent="0.35">
      <c r="A66" t="s">
        <v>2179</v>
      </c>
      <c r="B66" s="10" t="str">
        <f>MID($A66,P66,Q66)</f>
        <v>pp0qnhs0</v>
      </c>
      <c r="C66" s="10" t="str">
        <f>MID($A67,T66,U66)</f>
        <v>PressureQNH</v>
      </c>
      <c r="D66" s="10" t="str">
        <f>MID($A64,W66,X66)</f>
        <v>Atmospheric pressure reduced to sea level according to standard atmosphere (QNH); current value in hPa</v>
      </c>
      <c r="E66" s="9" t="str">
        <f>VLOOKUP($B66,ogd_smn_meta_parameters[],1,FALSE)</f>
        <v>pp0qnhs0</v>
      </c>
      <c r="F66" s="8" t="str">
        <f>VLOOKUP($B66,ogd_smn_meta_parameters[],F$1,FALSE)</f>
        <v>Atmospheric pressure reduced to sea level according to standard atmosphere (QNH); current value</v>
      </c>
      <c r="G66" s="8" t="str">
        <f>VLOOKUP($B66,ogd_smn_meta_parameters[],G$1,FALSE)</f>
        <v>Pressure</v>
      </c>
      <c r="H66" s="17" t="str">
        <f>VLOOKUP($B66,ogd_smn_meta_parameters[],H$1,FALSE)</f>
        <v>T</v>
      </c>
      <c r="I66" s="17">
        <f>VLOOKUP($B66,ogd_smn_meta_parameters[],I$1,FALSE)</f>
        <v>1</v>
      </c>
      <c r="J66" s="17" t="str">
        <f>VLOOKUP($B66,ogd_smn_meta_parameters[],J$1,FALSE)</f>
        <v>Float</v>
      </c>
      <c r="K66" s="17" t="str">
        <f>VLOOKUP($B66,ogd_smn_meta_parameters[],K$1,FALSE)</f>
        <v>hPa</v>
      </c>
      <c r="P66">
        <f t="shared" ref="P66" si="63">FIND(P$1,$A66)+LEN(P$1)</f>
        <v>16</v>
      </c>
      <c r="Q66">
        <f t="shared" ref="Q66" si="64">FIND(Q$1,$A66)-P66</f>
        <v>8</v>
      </c>
      <c r="S66">
        <f t="shared" ref="S66" si="65">FIND(S$1,$A67)+LEN(S$1)</f>
        <v>16</v>
      </c>
      <c r="T66">
        <f t="shared" ref="T66" si="66">FIND(T$1,$A67,S66)+LEN(T$1)</f>
        <v>24</v>
      </c>
      <c r="U66">
        <f t="shared" ref="U66" si="67">FIND(U$1,$A67)-T66</f>
        <v>11</v>
      </c>
      <c r="W66">
        <f t="shared" ref="W66" si="68">FIND(W$1,$A64)+LEN(W$1)</f>
        <v>13</v>
      </c>
      <c r="X66">
        <f t="shared" ref="X66" si="69">FIND(X$1,$A64)-W66</f>
        <v>102</v>
      </c>
    </row>
    <row r="67" spans="1:24" hidden="1" x14ac:dyDescent="0.35">
      <c r="A67" t="s">
        <v>2180</v>
      </c>
    </row>
    <row r="68" spans="1:24" hidden="1" x14ac:dyDescent="0.35"/>
    <row r="69" spans="1:24" hidden="1" x14ac:dyDescent="0.35">
      <c r="A69" t="s">
        <v>2146</v>
      </c>
    </row>
    <row r="70" spans="1:24" hidden="1" x14ac:dyDescent="0.35">
      <c r="A70" t="s">
        <v>2181</v>
      </c>
    </row>
    <row r="71" spans="1:24" hidden="1" x14ac:dyDescent="0.35">
      <c r="A71" t="s">
        <v>2148</v>
      </c>
    </row>
    <row r="72" spans="1:24" x14ac:dyDescent="0.35">
      <c r="A72" t="s">
        <v>2182</v>
      </c>
      <c r="B72" s="10" t="str">
        <f>MID($A72,P72,Q72)</f>
        <v>pp0qffs0</v>
      </c>
      <c r="C72" s="10" t="str">
        <f>MID($A73,T72,U72)</f>
        <v>PressureQFF</v>
      </c>
      <c r="D72" s="10" t="str">
        <f>MID($A70,W72,X72)</f>
        <v>Atmospheric pressure reduced to sea level (QFF); current value in hPa</v>
      </c>
      <c r="E72" s="9" t="str">
        <f>VLOOKUP($B72,ogd_smn_meta_parameters[],1,FALSE)</f>
        <v>pp0qffs0</v>
      </c>
      <c r="F72" s="8" t="str">
        <f>VLOOKUP($B72,ogd_smn_meta_parameters[],F$1,FALSE)</f>
        <v>Atmospheric pressure reduced to sea level (QFF); current value</v>
      </c>
      <c r="G72" s="8" t="str">
        <f>VLOOKUP($B72,ogd_smn_meta_parameters[],G$1,FALSE)</f>
        <v>Pressure</v>
      </c>
      <c r="H72" s="17" t="str">
        <f>VLOOKUP($B72,ogd_smn_meta_parameters[],H$1,FALSE)</f>
        <v>T</v>
      </c>
      <c r="I72" s="17">
        <f>VLOOKUP($B72,ogd_smn_meta_parameters[],I$1,FALSE)</f>
        <v>1</v>
      </c>
      <c r="J72" s="17" t="str">
        <f>VLOOKUP($B72,ogd_smn_meta_parameters[],J$1,FALSE)</f>
        <v>Float</v>
      </c>
      <c r="K72" s="17" t="str">
        <f>VLOOKUP($B72,ogd_smn_meta_parameters[],K$1,FALSE)</f>
        <v>hPa</v>
      </c>
      <c r="P72">
        <f t="shared" ref="P72" si="70">FIND(P$1,$A72)+LEN(P$1)</f>
        <v>16</v>
      </c>
      <c r="Q72">
        <f t="shared" ref="Q72" si="71">FIND(Q$1,$A72)-P72</f>
        <v>8</v>
      </c>
      <c r="S72">
        <f t="shared" ref="S72" si="72">FIND(S$1,$A73)+LEN(S$1)</f>
        <v>16</v>
      </c>
      <c r="T72">
        <f t="shared" ref="T72" si="73">FIND(T$1,$A73,S72)+LEN(T$1)</f>
        <v>24</v>
      </c>
      <c r="U72">
        <f t="shared" ref="U72" si="74">FIND(U$1,$A73)-T72</f>
        <v>11</v>
      </c>
      <c r="W72">
        <f t="shared" ref="W72" si="75">FIND(W$1,$A70)+LEN(W$1)</f>
        <v>13</v>
      </c>
      <c r="X72">
        <f t="shared" ref="X72" si="76">FIND(X$1,$A70)-W72</f>
        <v>69</v>
      </c>
    </row>
    <row r="73" spans="1:24" hidden="1" x14ac:dyDescent="0.35">
      <c r="A73" t="s">
        <v>2183</v>
      </c>
    </row>
    <row r="74" spans="1:24" hidden="1" x14ac:dyDescent="0.35"/>
    <row r="75" spans="1:24" hidden="1" x14ac:dyDescent="0.35">
      <c r="A75" t="s">
        <v>2146</v>
      </c>
    </row>
    <row r="76" spans="1:24" hidden="1" x14ac:dyDescent="0.35">
      <c r="A76" t="s">
        <v>2184</v>
      </c>
    </row>
    <row r="77" spans="1:24" hidden="1" x14ac:dyDescent="0.35">
      <c r="A77" t="s">
        <v>2148</v>
      </c>
    </row>
    <row r="78" spans="1:24" x14ac:dyDescent="0.35">
      <c r="A78" t="s">
        <v>2185</v>
      </c>
      <c r="B78" s="10" t="str">
        <f>MID($A78,P78,Q78)</f>
        <v>ppz850s0</v>
      </c>
      <c r="C78" s="10" t="str">
        <f>MID($A79,T78,U78)</f>
        <v>GeopotentialHeight850hPa</v>
      </c>
      <c r="D78" s="10" t="str">
        <f>MID($A76,W78,X78)</f>
        <v>Geopotential height of the 850 hPa level; current value in gpm</v>
      </c>
      <c r="E78" s="9" t="str">
        <f>VLOOKUP($B78,ogd_smn_meta_parameters[],1,FALSE)</f>
        <v>ppz850s0</v>
      </c>
      <c r="F78" s="8" t="str">
        <f>VLOOKUP($B78,ogd_smn_meta_parameters[],F$1,FALSE)</f>
        <v>Geopotential height of the 850 hPA level; current value</v>
      </c>
      <c r="G78" s="8" t="str">
        <f>VLOOKUP($B78,ogd_smn_meta_parameters[],G$1,FALSE)</f>
        <v>Pressure</v>
      </c>
      <c r="H78" s="17" t="str">
        <f>VLOOKUP($B78,ogd_smn_meta_parameters[],H$1,FALSE)</f>
        <v>T</v>
      </c>
      <c r="I78" s="17">
        <f>VLOOKUP($B78,ogd_smn_meta_parameters[],I$1,FALSE)</f>
        <v>1</v>
      </c>
      <c r="J78" s="17" t="str">
        <f>VLOOKUP($B78,ogd_smn_meta_parameters[],J$1,FALSE)</f>
        <v>Float</v>
      </c>
      <c r="K78" s="17" t="str">
        <f>VLOOKUP($B78,ogd_smn_meta_parameters[],K$1,FALSE)</f>
        <v>gpm</v>
      </c>
      <c r="P78">
        <f t="shared" ref="P78" si="77">FIND(P$1,$A78)+LEN(P$1)</f>
        <v>16</v>
      </c>
      <c r="Q78">
        <f t="shared" ref="Q78" si="78">FIND(Q$1,$A78)-P78</f>
        <v>8</v>
      </c>
      <c r="S78">
        <f t="shared" ref="S78" si="79">FIND(S$1,$A79)+LEN(S$1)</f>
        <v>16</v>
      </c>
      <c r="T78">
        <f t="shared" ref="T78" si="80">FIND(T$1,$A79,S78)+LEN(T$1)</f>
        <v>24</v>
      </c>
      <c r="U78">
        <f t="shared" ref="U78" si="81">FIND(U$1,$A79)-T78</f>
        <v>24</v>
      </c>
      <c r="W78">
        <f t="shared" ref="W78" si="82">FIND(W$1,$A76)+LEN(W$1)</f>
        <v>13</v>
      </c>
      <c r="X78">
        <f t="shared" ref="X78" si="83">FIND(X$1,$A76)-W78</f>
        <v>62</v>
      </c>
    </row>
    <row r="79" spans="1:24" hidden="1" x14ac:dyDescent="0.35">
      <c r="A79" t="s">
        <v>2186</v>
      </c>
    </row>
    <row r="80" spans="1:24" hidden="1" x14ac:dyDescent="0.35"/>
    <row r="81" spans="1:24" hidden="1" x14ac:dyDescent="0.35">
      <c r="A81" t="s">
        <v>2146</v>
      </c>
    </row>
    <row r="82" spans="1:24" hidden="1" x14ac:dyDescent="0.35">
      <c r="A82" t="s">
        <v>2187</v>
      </c>
    </row>
    <row r="83" spans="1:24" hidden="1" x14ac:dyDescent="0.35">
      <c r="A83" t="s">
        <v>2148</v>
      </c>
    </row>
    <row r="84" spans="1:24" x14ac:dyDescent="0.35">
      <c r="A84" t="s">
        <v>2188</v>
      </c>
      <c r="B84" s="10" t="str">
        <f>MID($A84,P84,Q84)</f>
        <v>ppz700s0</v>
      </c>
      <c r="C84" s="10" t="str">
        <f>MID($A85,T84,U84)</f>
        <v>GeopotentialHeight700hPa</v>
      </c>
      <c r="D84" s="10" t="str">
        <f>MID($A82,W84,X84)</f>
        <v>Geopotential height of the 700 hPa level; current value in gpm</v>
      </c>
      <c r="E84" s="9" t="str">
        <f>VLOOKUP($B84,ogd_smn_meta_parameters[],1,FALSE)</f>
        <v>ppz700s0</v>
      </c>
      <c r="F84" s="8" t="str">
        <f>VLOOKUP($B84,ogd_smn_meta_parameters[],F$1,FALSE)</f>
        <v>Geopotential height of the 700 hPA level; current value</v>
      </c>
      <c r="G84" s="8" t="str">
        <f>VLOOKUP($B84,ogd_smn_meta_parameters[],G$1,FALSE)</f>
        <v>Pressure</v>
      </c>
      <c r="H84" s="17" t="str">
        <f>VLOOKUP($B84,ogd_smn_meta_parameters[],H$1,FALSE)</f>
        <v>T</v>
      </c>
      <c r="I84" s="17">
        <f>VLOOKUP($B84,ogd_smn_meta_parameters[],I$1,FALSE)</f>
        <v>1</v>
      </c>
      <c r="J84" s="17" t="str">
        <f>VLOOKUP($B84,ogd_smn_meta_parameters[],J$1,FALSE)</f>
        <v>Float</v>
      </c>
      <c r="K84" s="17" t="str">
        <f>VLOOKUP($B84,ogd_smn_meta_parameters[],K$1,FALSE)</f>
        <v>gpm</v>
      </c>
      <c r="P84">
        <f t="shared" ref="P84" si="84">FIND(P$1,$A84)+LEN(P$1)</f>
        <v>16</v>
      </c>
      <c r="Q84">
        <f t="shared" ref="Q84" si="85">FIND(Q$1,$A84)-P84</f>
        <v>8</v>
      </c>
      <c r="S84">
        <f t="shared" ref="S84" si="86">FIND(S$1,$A85)+LEN(S$1)</f>
        <v>16</v>
      </c>
      <c r="T84">
        <f t="shared" ref="T84" si="87">FIND(T$1,$A85,S84)+LEN(T$1)</f>
        <v>24</v>
      </c>
      <c r="U84">
        <f t="shared" ref="U84" si="88">FIND(U$1,$A85)-T84</f>
        <v>24</v>
      </c>
      <c r="W84">
        <f t="shared" ref="W84" si="89">FIND(W$1,$A82)+LEN(W$1)</f>
        <v>13</v>
      </c>
      <c r="X84">
        <f t="shared" ref="X84" si="90">FIND(X$1,$A82)-W84</f>
        <v>62</v>
      </c>
    </row>
    <row r="85" spans="1:24" hidden="1" x14ac:dyDescent="0.35">
      <c r="A85" t="s">
        <v>2189</v>
      </c>
    </row>
    <row r="86" spans="1:24" hidden="1" x14ac:dyDescent="0.35"/>
    <row r="87" spans="1:24" hidden="1" x14ac:dyDescent="0.35">
      <c r="A87" t="s">
        <v>2146</v>
      </c>
    </row>
    <row r="88" spans="1:24" hidden="1" x14ac:dyDescent="0.35">
      <c r="A88" t="s">
        <v>2190</v>
      </c>
    </row>
    <row r="89" spans="1:24" hidden="1" x14ac:dyDescent="0.35">
      <c r="A89" t="s">
        <v>2148</v>
      </c>
    </row>
    <row r="90" spans="1:24" x14ac:dyDescent="0.35">
      <c r="A90" t="s">
        <v>2191</v>
      </c>
      <c r="B90" s="10" t="str">
        <f>MID($A90,P90,Q90)</f>
        <v>fkl010z1</v>
      </c>
      <c r="C90" s="10" t="str">
        <f>MID($A91,T90,U90)</f>
        <v>WindGust1s</v>
      </c>
      <c r="D90" s="10" t="str">
        <f>MID($A88,W90,X90)</f>
        <v>Gust peak (one second); maximum in m/s</v>
      </c>
      <c r="E90" s="9" t="str">
        <f>VLOOKUP($B90,ogd_smn_meta_parameters[],1,FALSE)</f>
        <v>fkl010z1</v>
      </c>
      <c r="F90" s="8" t="str">
        <f>VLOOKUP($B90,ogd_smn_meta_parameters[],F$1,FALSE)</f>
        <v>Gust peak (one second); maximum in m/s</v>
      </c>
      <c r="G90" s="8" t="str">
        <f>VLOOKUP($B90,ogd_smn_meta_parameters[],G$1,FALSE)</f>
        <v>Wind</v>
      </c>
      <c r="H90" s="17" t="str">
        <f>VLOOKUP($B90,ogd_smn_meta_parameters[],H$1,FALSE)</f>
        <v>T</v>
      </c>
      <c r="I90" s="17">
        <f>VLOOKUP($B90,ogd_smn_meta_parameters[],I$1,FALSE)</f>
        <v>1</v>
      </c>
      <c r="J90" s="17" t="str">
        <f>VLOOKUP($B90,ogd_smn_meta_parameters[],J$1,FALSE)</f>
        <v>Float</v>
      </c>
      <c r="K90" s="17" t="str">
        <f>VLOOKUP($B90,ogd_smn_meta_parameters[],K$1,FALSE)</f>
        <v>m/s</v>
      </c>
      <c r="P90">
        <f t="shared" ref="P90" si="91">FIND(P$1,$A90)+LEN(P$1)</f>
        <v>16</v>
      </c>
      <c r="Q90">
        <f t="shared" ref="Q90" si="92">FIND(Q$1,$A90)-P90</f>
        <v>8</v>
      </c>
      <c r="S90">
        <f t="shared" ref="S90" si="93">FIND(S$1,$A91)+LEN(S$1)</f>
        <v>16</v>
      </c>
      <c r="T90">
        <f t="shared" ref="T90" si="94">FIND(T$1,$A91,S90)+LEN(T$1)</f>
        <v>24</v>
      </c>
      <c r="U90">
        <f t="shared" ref="U90" si="95">FIND(U$1,$A91)-T90</f>
        <v>10</v>
      </c>
      <c r="W90">
        <f t="shared" ref="W90" si="96">FIND(W$1,$A88)+LEN(W$1)</f>
        <v>13</v>
      </c>
      <c r="X90">
        <f t="shared" ref="X90" si="97">FIND(X$1,$A88)-W90</f>
        <v>38</v>
      </c>
    </row>
    <row r="91" spans="1:24" hidden="1" x14ac:dyDescent="0.35">
      <c r="A91" t="s">
        <v>2192</v>
      </c>
    </row>
    <row r="92" spans="1:24" hidden="1" x14ac:dyDescent="0.35"/>
    <row r="93" spans="1:24" hidden="1" x14ac:dyDescent="0.35">
      <c r="A93" t="s">
        <v>2146</v>
      </c>
    </row>
    <row r="94" spans="1:24" hidden="1" x14ac:dyDescent="0.35">
      <c r="A94" t="s">
        <v>2193</v>
      </c>
    </row>
    <row r="95" spans="1:24" hidden="1" x14ac:dyDescent="0.35">
      <c r="A95" t="s">
        <v>2148</v>
      </c>
    </row>
    <row r="96" spans="1:24" x14ac:dyDescent="0.35">
      <c r="A96" t="s">
        <v>2194</v>
      </c>
      <c r="B96" s="10" t="str">
        <f>MID($A96,P96,Q96)</f>
        <v>fve010z0</v>
      </c>
      <c r="C96" s="10" t="str">
        <f>MID($A97,T96,U96)</f>
        <v>WindSpeedVectorial10min</v>
      </c>
      <c r="D96" s="10" t="str">
        <f>MID($A94,W96,X96)</f>
        <v>Wind speed vectorial; ten minutes mean in m/s</v>
      </c>
      <c r="E96" s="9" t="str">
        <f>VLOOKUP($B96,ogd_smn_meta_parameters[],1,FALSE)</f>
        <v>fve010z0</v>
      </c>
      <c r="F96" s="8" t="str">
        <f>VLOOKUP($B96,ogd_smn_meta_parameters[],F$1,FALSE)</f>
        <v>Wind speed vectoriel; ten minutes mean in m/s</v>
      </c>
      <c r="G96" s="8" t="str">
        <f>VLOOKUP($B96,ogd_smn_meta_parameters[],G$1,FALSE)</f>
        <v>Wind</v>
      </c>
      <c r="H96" s="17" t="str">
        <f>VLOOKUP($B96,ogd_smn_meta_parameters[],H$1,FALSE)</f>
        <v>T</v>
      </c>
      <c r="I96" s="17">
        <f>VLOOKUP($B96,ogd_smn_meta_parameters[],I$1,FALSE)</f>
        <v>1</v>
      </c>
      <c r="J96" s="17" t="str">
        <f>VLOOKUP($B96,ogd_smn_meta_parameters[],J$1,FALSE)</f>
        <v>Float</v>
      </c>
      <c r="K96" s="17" t="str">
        <f>VLOOKUP($B96,ogd_smn_meta_parameters[],K$1,FALSE)</f>
        <v>m/s</v>
      </c>
      <c r="P96">
        <f t="shared" ref="P96" si="98">FIND(P$1,$A96)+LEN(P$1)</f>
        <v>16</v>
      </c>
      <c r="Q96">
        <f t="shared" ref="Q96" si="99">FIND(Q$1,$A96)-P96</f>
        <v>8</v>
      </c>
      <c r="S96">
        <f t="shared" ref="S96" si="100">FIND(S$1,$A97)+LEN(S$1)</f>
        <v>16</v>
      </c>
      <c r="T96">
        <f t="shared" ref="T96" si="101">FIND(T$1,$A97,S96)+LEN(T$1)</f>
        <v>24</v>
      </c>
      <c r="U96">
        <f t="shared" ref="U96" si="102">FIND(U$1,$A97)-T96</f>
        <v>23</v>
      </c>
      <c r="W96">
        <f t="shared" ref="W96" si="103">FIND(W$1,$A94)+LEN(W$1)</f>
        <v>13</v>
      </c>
      <c r="X96">
        <f t="shared" ref="X96" si="104">FIND(X$1,$A94)-W96</f>
        <v>45</v>
      </c>
    </row>
    <row r="97" spans="1:24" hidden="1" x14ac:dyDescent="0.35">
      <c r="A97" t="s">
        <v>2195</v>
      </c>
    </row>
    <row r="98" spans="1:24" hidden="1" x14ac:dyDescent="0.35"/>
    <row r="99" spans="1:24" hidden="1" x14ac:dyDescent="0.35">
      <c r="A99" t="s">
        <v>2146</v>
      </c>
    </row>
    <row r="100" spans="1:24" hidden="1" x14ac:dyDescent="0.35">
      <c r="A100" t="s">
        <v>2196</v>
      </c>
    </row>
    <row r="101" spans="1:24" hidden="1" x14ac:dyDescent="0.35">
      <c r="A101" t="s">
        <v>2148</v>
      </c>
    </row>
    <row r="102" spans="1:24" x14ac:dyDescent="0.35">
      <c r="A102" t="s">
        <v>2197</v>
      </c>
      <c r="B102" s="14" t="str">
        <f>MID($A102,P102,Q102)</f>
        <v>fkl010z0</v>
      </c>
      <c r="C102" s="14" t="str">
        <f>MID($A103,T102,U102)</f>
        <v>WindSpeedScalar10min</v>
      </c>
      <c r="D102" s="14" t="str">
        <f>MID($A100,W102,X102)</f>
        <v>Wind speed scalar; ten minutes mean in m/s</v>
      </c>
      <c r="E102" s="22" t="str">
        <f>VLOOKUP($B102,ogd_smn_meta_parameters[],1,FALSE)</f>
        <v>fkl010z0</v>
      </c>
      <c r="F102" s="20" t="str">
        <f>VLOOKUP($B102,ogd_smn_meta_parameters[],F$1,FALSE)</f>
        <v>Wind speed scalar; ten minutes mean in m/s</v>
      </c>
      <c r="G102" s="20" t="str">
        <f>VLOOKUP($B102,ogd_smn_meta_parameters[],G$1,FALSE)</f>
        <v>Wind</v>
      </c>
      <c r="H102" s="21" t="str">
        <f>VLOOKUP($B102,ogd_smn_meta_parameters[],H$1,FALSE)</f>
        <v>T</v>
      </c>
      <c r="I102" s="21">
        <f>VLOOKUP($B102,ogd_smn_meta_parameters[],I$1,FALSE)</f>
        <v>1</v>
      </c>
      <c r="J102" s="21" t="str">
        <f>VLOOKUP($B102,ogd_smn_meta_parameters[],J$1,FALSE)</f>
        <v>Float</v>
      </c>
      <c r="K102" s="21" t="str">
        <f>VLOOKUP($B102,ogd_smn_meta_parameters[],K$1,FALSE)</f>
        <v>m/s</v>
      </c>
      <c r="P102">
        <f t="shared" ref="P102" si="105">FIND(P$1,$A102)+LEN(P$1)</f>
        <v>16</v>
      </c>
      <c r="Q102">
        <f t="shared" ref="Q102" si="106">FIND(Q$1,$A102)-P102</f>
        <v>8</v>
      </c>
      <c r="S102">
        <f t="shared" ref="S102" si="107">FIND(S$1,$A103)+LEN(S$1)</f>
        <v>16</v>
      </c>
      <c r="T102">
        <f t="shared" ref="T102" si="108">FIND(T$1,$A103,S102)+LEN(T$1)</f>
        <v>24</v>
      </c>
      <c r="U102">
        <f t="shared" ref="U102" si="109">FIND(U$1,$A103)-T102</f>
        <v>20</v>
      </c>
      <c r="W102">
        <f t="shared" ref="W102" si="110">FIND(W$1,$A100)+LEN(W$1)</f>
        <v>13</v>
      </c>
      <c r="X102">
        <f t="shared" ref="X102" si="111">FIND(X$1,$A100)-W102</f>
        <v>42</v>
      </c>
    </row>
    <row r="103" spans="1:24" hidden="1" x14ac:dyDescent="0.35">
      <c r="A103" t="s">
        <v>2198</v>
      </c>
    </row>
    <row r="104" spans="1:24" hidden="1" x14ac:dyDescent="0.35"/>
    <row r="105" spans="1:24" hidden="1" x14ac:dyDescent="0.35">
      <c r="A105" t="s">
        <v>2146</v>
      </c>
    </row>
    <row r="106" spans="1:24" hidden="1" x14ac:dyDescent="0.35">
      <c r="A106" t="s">
        <v>2199</v>
      </c>
    </row>
    <row r="107" spans="1:24" hidden="1" x14ac:dyDescent="0.35">
      <c r="A107" t="s">
        <v>2148</v>
      </c>
    </row>
    <row r="108" spans="1:24" x14ac:dyDescent="0.35">
      <c r="A108" t="s">
        <v>2200</v>
      </c>
      <c r="B108" s="10" t="str">
        <f>MID($A108,P108,Q108)</f>
        <v>dkl010z0</v>
      </c>
      <c r="C108" s="10" t="str">
        <f>MID($A109,T108,U108)</f>
        <v>WindDirection</v>
      </c>
      <c r="D108" s="10" t="str">
        <f>MID($A106,W108,X108)</f>
        <v>Wind direction; ten minutes mean in °</v>
      </c>
      <c r="E108" s="9" t="str">
        <f>VLOOKUP($B108,ogd_smn_meta_parameters[],1,FALSE)</f>
        <v>dkl010z0</v>
      </c>
      <c r="F108" s="8" t="str">
        <f>VLOOKUP($B108,ogd_smn_meta_parameters[],F$1,FALSE)</f>
        <v>Wind direction; ten minutes mean</v>
      </c>
      <c r="G108" s="8" t="str">
        <f>VLOOKUP($B108,ogd_smn_meta_parameters[],G$1,FALSE)</f>
        <v>Wind</v>
      </c>
      <c r="H108" s="17" t="str">
        <f>VLOOKUP($B108,ogd_smn_meta_parameters[],H$1,FALSE)</f>
        <v>T</v>
      </c>
      <c r="I108" s="17">
        <f>VLOOKUP($B108,ogd_smn_meta_parameters[],I$1,FALSE)</f>
        <v>0</v>
      </c>
      <c r="J108" s="17" t="str">
        <f>VLOOKUP($B108,ogd_smn_meta_parameters[],J$1,FALSE)</f>
        <v>Integer</v>
      </c>
      <c r="K108" s="17" t="str">
        <f>VLOOKUP($B108,ogd_smn_meta_parameters[],K$1,FALSE)</f>
        <v>°</v>
      </c>
      <c r="P108">
        <f t="shared" ref="P108" si="112">FIND(P$1,$A108)+LEN(P$1)</f>
        <v>16</v>
      </c>
      <c r="Q108">
        <f t="shared" ref="Q108" si="113">FIND(Q$1,$A108)-P108</f>
        <v>8</v>
      </c>
      <c r="S108">
        <f t="shared" ref="S108" si="114">FIND(S$1,$A109)+LEN(S$1)</f>
        <v>16</v>
      </c>
      <c r="T108">
        <f t="shared" ref="T108" si="115">FIND(T$1,$A109,S108)+LEN(T$1)</f>
        <v>24</v>
      </c>
      <c r="U108">
        <f t="shared" ref="U108" si="116">FIND(U$1,$A109)-T108</f>
        <v>13</v>
      </c>
      <c r="W108">
        <f t="shared" ref="W108" si="117">FIND(W$1,$A106)+LEN(W$1)</f>
        <v>13</v>
      </c>
      <c r="X108">
        <f t="shared" ref="X108" si="118">FIND(X$1,$A106)-W108</f>
        <v>37</v>
      </c>
    </row>
    <row r="109" spans="1:24" hidden="1" x14ac:dyDescent="0.35">
      <c r="A109" t="s">
        <v>2201</v>
      </c>
    </row>
    <row r="110" spans="1:24" hidden="1" x14ac:dyDescent="0.35"/>
    <row r="111" spans="1:24" hidden="1" x14ac:dyDescent="0.35">
      <c r="A111" t="s">
        <v>2146</v>
      </c>
    </row>
    <row r="112" spans="1:24" hidden="1" x14ac:dyDescent="0.35">
      <c r="A112" t="s">
        <v>2202</v>
      </c>
    </row>
    <row r="113" spans="1:24" hidden="1" x14ac:dyDescent="0.35">
      <c r="A113" t="s">
        <v>2148</v>
      </c>
    </row>
    <row r="114" spans="1:24" x14ac:dyDescent="0.35">
      <c r="A114" t="s">
        <v>2203</v>
      </c>
      <c r="B114" s="10" t="str">
        <f>MID($A114,P114,Q114)</f>
        <v>wcc006s0</v>
      </c>
      <c r="C114" s="10" t="str">
        <f>MID($A115,T114,U114)</f>
        <v>FoehnIndex</v>
      </c>
      <c r="D114" s="10" t="str">
        <f>MID($A112,W114,X114)</f>
        <v>Foehn index; Code</v>
      </c>
      <c r="E114" s="9" t="str">
        <f>VLOOKUP($B114,ogd_smn_meta_parameters[],1,FALSE)</f>
        <v>wcc006s0</v>
      </c>
      <c r="F114" s="8" t="str">
        <f>VLOOKUP($B114,ogd_smn_meta_parameters[],F$1,FALSE)</f>
        <v>Foehn index</v>
      </c>
      <c r="G114" s="8" t="str">
        <f>VLOOKUP($B114,ogd_smn_meta_parameters[],G$1,FALSE)</f>
        <v>Wind</v>
      </c>
      <c r="H114" s="17" t="str">
        <f>VLOOKUP($B114,ogd_smn_meta_parameters[],H$1,FALSE)</f>
        <v>T</v>
      </c>
      <c r="I114" s="17">
        <f>VLOOKUP($B114,ogd_smn_meta_parameters[],I$1,FALSE)</f>
        <v>0</v>
      </c>
      <c r="J114" s="17" t="str">
        <f>VLOOKUP($B114,ogd_smn_meta_parameters[],J$1,FALSE)</f>
        <v>Integer</v>
      </c>
      <c r="K114" s="17" t="str">
        <f>VLOOKUP($B114,ogd_smn_meta_parameters[],K$1,FALSE)</f>
        <v>Code</v>
      </c>
      <c r="P114">
        <f t="shared" ref="P114" si="119">FIND(P$1,$A114)+LEN(P$1)</f>
        <v>16</v>
      </c>
      <c r="Q114">
        <f t="shared" ref="Q114" si="120">FIND(Q$1,$A114)-P114</f>
        <v>8</v>
      </c>
      <c r="S114">
        <f t="shared" ref="S114" si="121">FIND(S$1,$A115)+LEN(S$1)</f>
        <v>16</v>
      </c>
      <c r="T114">
        <f t="shared" ref="T114" si="122">FIND(T$1,$A115,S114)+LEN(T$1)</f>
        <v>24</v>
      </c>
      <c r="U114">
        <f t="shared" ref="U114" si="123">FIND(U$1,$A115)-T114</f>
        <v>10</v>
      </c>
      <c r="W114">
        <f t="shared" ref="W114" si="124">FIND(W$1,$A112)+LEN(W$1)</f>
        <v>13</v>
      </c>
      <c r="X114">
        <f t="shared" ref="X114" si="125">FIND(X$1,$A112)-W114</f>
        <v>17</v>
      </c>
    </row>
    <row r="115" spans="1:24" hidden="1" x14ac:dyDescent="0.35">
      <c r="A115" t="s">
        <v>2204</v>
      </c>
    </row>
    <row r="116" spans="1:24" hidden="1" x14ac:dyDescent="0.35"/>
    <row r="117" spans="1:24" hidden="1" x14ac:dyDescent="0.35">
      <c r="A117" t="s">
        <v>2146</v>
      </c>
    </row>
    <row r="118" spans="1:24" hidden="1" x14ac:dyDescent="0.35">
      <c r="A118" t="s">
        <v>2205</v>
      </c>
    </row>
    <row r="119" spans="1:24" hidden="1" x14ac:dyDescent="0.35">
      <c r="A119" t="s">
        <v>2148</v>
      </c>
    </row>
    <row r="120" spans="1:24" x14ac:dyDescent="0.35">
      <c r="A120" t="s">
        <v>2206</v>
      </c>
      <c r="B120" s="14" t="str">
        <f>MID($A120,P120,Q120)</f>
        <v>fu3010z0</v>
      </c>
      <c r="C120" s="14" t="str">
        <f>MID($A121,T120,U120)</f>
        <v>WindSpeed10min_kmh</v>
      </c>
      <c r="D120" s="14" t="str">
        <f>MID($A118,W120,X120)</f>
        <v>Wind speed; ten minutes mean in km/h</v>
      </c>
      <c r="E120" s="9" t="str">
        <f>VLOOKUP($B120,ogd_smn_meta_parameters[],1,FALSE)</f>
        <v>fu3010z0</v>
      </c>
      <c r="F120" s="20" t="str">
        <f>VLOOKUP($B120,ogd_smn_meta_parameters[],F$1,FALSE)</f>
        <v>Wind speed; ten minutes mean in km/h</v>
      </c>
      <c r="G120" s="20" t="str">
        <f>VLOOKUP($B120,ogd_smn_meta_parameters[],G$1,FALSE)</f>
        <v>Wind</v>
      </c>
      <c r="H120" s="21" t="str">
        <f>VLOOKUP($B120,ogd_smn_meta_parameters[],H$1,FALSE)</f>
        <v>T</v>
      </c>
      <c r="I120" s="21">
        <f>VLOOKUP($B120,ogd_smn_meta_parameters[],I$1,FALSE)</f>
        <v>1</v>
      </c>
      <c r="J120" s="21" t="str">
        <f>VLOOKUP($B120,ogd_smn_meta_parameters[],J$1,FALSE)</f>
        <v>Float</v>
      </c>
      <c r="K120" s="21" t="str">
        <f>VLOOKUP($B120,ogd_smn_meta_parameters[],K$1,FALSE)</f>
        <v>km/h</v>
      </c>
      <c r="P120">
        <f t="shared" ref="P120" si="126">FIND(P$1,$A120)+LEN(P$1)</f>
        <v>16</v>
      </c>
      <c r="Q120">
        <f t="shared" ref="Q120" si="127">FIND(Q$1,$A120)-P120</f>
        <v>8</v>
      </c>
      <c r="S120">
        <f t="shared" ref="S120" si="128">FIND(S$1,$A121)+LEN(S$1)</f>
        <v>16</v>
      </c>
      <c r="T120">
        <f t="shared" ref="T120" si="129">FIND(T$1,$A121,S120)+LEN(T$1)</f>
        <v>24</v>
      </c>
      <c r="U120">
        <f t="shared" ref="U120" si="130">FIND(U$1,$A121)-T120</f>
        <v>18</v>
      </c>
      <c r="W120">
        <f t="shared" ref="W120" si="131">FIND(W$1,$A118)+LEN(W$1)</f>
        <v>13</v>
      </c>
      <c r="X120">
        <f t="shared" ref="X120" si="132">FIND(X$1,$A118)-W120</f>
        <v>36</v>
      </c>
    </row>
    <row r="121" spans="1:24" hidden="1" x14ac:dyDescent="0.35">
      <c r="A121" t="s">
        <v>2207</v>
      </c>
    </row>
    <row r="122" spans="1:24" hidden="1" x14ac:dyDescent="0.35"/>
    <row r="123" spans="1:24" hidden="1" x14ac:dyDescent="0.35">
      <c r="A123" t="s">
        <v>2146</v>
      </c>
    </row>
    <row r="124" spans="1:24" hidden="1" x14ac:dyDescent="0.35">
      <c r="A124" t="s">
        <v>2208</v>
      </c>
    </row>
    <row r="125" spans="1:24" hidden="1" x14ac:dyDescent="0.35">
      <c r="A125" t="s">
        <v>2148</v>
      </c>
    </row>
    <row r="126" spans="1:24" x14ac:dyDescent="0.35">
      <c r="A126" t="s">
        <v>2209</v>
      </c>
      <c r="B126" s="10" t="str">
        <f>MID($A126,P126,Q126)</f>
        <v>fkl010z3</v>
      </c>
      <c r="C126" s="10" t="str">
        <f>MID($A127,T126,U126)</f>
        <v>WindGust3s</v>
      </c>
      <c r="D126" s="10" t="str">
        <f>MID($A124,W126,X126)</f>
        <v>Gust peak (three seconds); maximum in m/s</v>
      </c>
      <c r="E126" s="9" t="str">
        <f>VLOOKUP($B126,ogd_smn_meta_parameters[],1,FALSE)</f>
        <v>fkl010z3</v>
      </c>
      <c r="F126" s="8" t="str">
        <f>VLOOKUP($B126,ogd_smn_meta_parameters[],F$1,FALSE)</f>
        <v>Gust peak (three seconds); maximum in m/s</v>
      </c>
      <c r="G126" s="8" t="str">
        <f>VLOOKUP($B126,ogd_smn_meta_parameters[],G$1,FALSE)</f>
        <v>Wind</v>
      </c>
      <c r="H126" s="17" t="str">
        <f>VLOOKUP($B126,ogd_smn_meta_parameters[],H$1,FALSE)</f>
        <v>T</v>
      </c>
      <c r="I126" s="17">
        <f>VLOOKUP($B126,ogd_smn_meta_parameters[],I$1,FALSE)</f>
        <v>1</v>
      </c>
      <c r="J126" s="17" t="str">
        <f>VLOOKUP($B126,ogd_smn_meta_parameters[],J$1,FALSE)</f>
        <v>Float</v>
      </c>
      <c r="K126" s="17" t="str">
        <f>VLOOKUP($B126,ogd_smn_meta_parameters[],K$1,FALSE)</f>
        <v>m/s</v>
      </c>
      <c r="P126">
        <f t="shared" ref="P126" si="133">FIND(P$1,$A126)+LEN(P$1)</f>
        <v>16</v>
      </c>
      <c r="Q126">
        <f t="shared" ref="Q126" si="134">FIND(Q$1,$A126)-P126</f>
        <v>8</v>
      </c>
      <c r="S126">
        <f t="shared" ref="S126" si="135">FIND(S$1,$A127)+LEN(S$1)</f>
        <v>16</v>
      </c>
      <c r="T126">
        <f t="shared" ref="T126" si="136">FIND(T$1,$A127,S126)+LEN(T$1)</f>
        <v>24</v>
      </c>
      <c r="U126">
        <f t="shared" ref="U126" si="137">FIND(U$1,$A127)-T126</f>
        <v>10</v>
      </c>
      <c r="W126">
        <f t="shared" ref="W126" si="138">FIND(W$1,$A124)+LEN(W$1)</f>
        <v>13</v>
      </c>
      <c r="X126">
        <f t="shared" ref="X126" si="139">FIND(X$1,$A124)-W126</f>
        <v>41</v>
      </c>
    </row>
    <row r="127" spans="1:24" hidden="1" x14ac:dyDescent="0.35">
      <c r="A127" t="s">
        <v>2210</v>
      </c>
    </row>
    <row r="128" spans="1:24" hidden="1" x14ac:dyDescent="0.35"/>
    <row r="129" spans="1:24" hidden="1" x14ac:dyDescent="0.35">
      <c r="A129" t="s">
        <v>2146</v>
      </c>
    </row>
    <row r="130" spans="1:24" hidden="1" x14ac:dyDescent="0.35">
      <c r="A130" t="s">
        <v>2211</v>
      </c>
    </row>
    <row r="131" spans="1:24" hidden="1" x14ac:dyDescent="0.35">
      <c r="A131" t="s">
        <v>2148</v>
      </c>
    </row>
    <row r="132" spans="1:24" x14ac:dyDescent="0.35">
      <c r="A132" t="s">
        <v>2212</v>
      </c>
      <c r="B132" s="10" t="str">
        <f>MID($A132,P132,Q132)</f>
        <v>fu3010z1</v>
      </c>
      <c r="C132" s="10" t="str">
        <f>MID($A133,T132,U132)</f>
        <v>WindGust1s_kmh</v>
      </c>
      <c r="D132" s="10" t="str">
        <f>MID($A130,W132,X132)</f>
        <v>Gust peak (one second); maximum in km/h</v>
      </c>
      <c r="E132" s="9" t="str">
        <f>VLOOKUP($B132,ogd_smn_meta_parameters[],1,FALSE)</f>
        <v>fu3010z1</v>
      </c>
      <c r="F132" s="8" t="str">
        <f>VLOOKUP($B132,ogd_smn_meta_parameters[],F$1,FALSE)</f>
        <v>Gust peak (one second); maximum in km/h</v>
      </c>
      <c r="G132" s="8" t="str">
        <f>VLOOKUP($B132,ogd_smn_meta_parameters[],G$1,FALSE)</f>
        <v>Wind</v>
      </c>
      <c r="H132" s="17" t="str">
        <f>VLOOKUP($B132,ogd_smn_meta_parameters[],H$1,FALSE)</f>
        <v>T</v>
      </c>
      <c r="I132" s="17">
        <f>VLOOKUP($B132,ogd_smn_meta_parameters[],I$1,FALSE)</f>
        <v>1</v>
      </c>
      <c r="J132" s="17" t="str">
        <f>VLOOKUP($B132,ogd_smn_meta_parameters[],J$1,FALSE)</f>
        <v>Float</v>
      </c>
      <c r="K132" s="17" t="str">
        <f>VLOOKUP($B132,ogd_smn_meta_parameters[],K$1,FALSE)</f>
        <v>km/h</v>
      </c>
      <c r="P132">
        <f t="shared" ref="P132" si="140">FIND(P$1,$A132)+LEN(P$1)</f>
        <v>16</v>
      </c>
      <c r="Q132">
        <f t="shared" ref="Q132" si="141">FIND(Q$1,$A132)-P132</f>
        <v>8</v>
      </c>
      <c r="S132">
        <f t="shared" ref="S132" si="142">FIND(S$1,$A133)+LEN(S$1)</f>
        <v>16</v>
      </c>
      <c r="T132">
        <f t="shared" ref="T132" si="143">FIND(T$1,$A133,S132)+LEN(T$1)</f>
        <v>24</v>
      </c>
      <c r="U132">
        <f t="shared" ref="U132" si="144">FIND(U$1,$A133)-T132</f>
        <v>14</v>
      </c>
      <c r="W132">
        <f t="shared" ref="W132" si="145">FIND(W$1,$A130)+LEN(W$1)</f>
        <v>13</v>
      </c>
      <c r="X132">
        <f t="shared" ref="X132" si="146">FIND(X$1,$A130)-W132</f>
        <v>39</v>
      </c>
    </row>
    <row r="133" spans="1:24" hidden="1" x14ac:dyDescent="0.35">
      <c r="A133" t="s">
        <v>2213</v>
      </c>
    </row>
    <row r="134" spans="1:24" hidden="1" x14ac:dyDescent="0.35"/>
    <row r="135" spans="1:24" hidden="1" x14ac:dyDescent="0.35">
      <c r="A135" t="s">
        <v>2146</v>
      </c>
    </row>
    <row r="136" spans="1:24" hidden="1" x14ac:dyDescent="0.35">
      <c r="A136" t="s">
        <v>2214</v>
      </c>
    </row>
    <row r="137" spans="1:24" hidden="1" x14ac:dyDescent="0.35">
      <c r="A137" t="s">
        <v>2148</v>
      </c>
    </row>
    <row r="138" spans="1:24" x14ac:dyDescent="0.35">
      <c r="A138" t="s">
        <v>2215</v>
      </c>
      <c r="B138" s="10" t="str">
        <f>MID($A138,P138,Q138)</f>
        <v>fu3010z3</v>
      </c>
      <c r="C138" s="10" t="str">
        <f>MID($A139,T138,U138)</f>
        <v>WindGust3s_kmh</v>
      </c>
      <c r="D138" s="10" t="str">
        <f>MID($A136,W138,X138)</f>
        <v>Gust peak (three seconds); maximum in km/h</v>
      </c>
      <c r="E138" s="9" t="str">
        <f>VLOOKUP($B138,ogd_smn_meta_parameters[],1,FALSE)</f>
        <v>fu3010z3</v>
      </c>
      <c r="F138" s="8" t="str">
        <f>VLOOKUP($B138,ogd_smn_meta_parameters[],F$1,FALSE)</f>
        <v>Gust peak (three seconds); maximum in km/h</v>
      </c>
      <c r="G138" s="8" t="str">
        <f>VLOOKUP($B138,ogd_smn_meta_parameters[],G$1,FALSE)</f>
        <v>Wind</v>
      </c>
      <c r="H138" s="17" t="str">
        <f>VLOOKUP($B138,ogd_smn_meta_parameters[],H$1,FALSE)</f>
        <v>T</v>
      </c>
      <c r="I138" s="17">
        <f>VLOOKUP($B138,ogd_smn_meta_parameters[],I$1,FALSE)</f>
        <v>1</v>
      </c>
      <c r="J138" s="17" t="str">
        <f>VLOOKUP($B138,ogd_smn_meta_parameters[],J$1,FALSE)</f>
        <v>Float</v>
      </c>
      <c r="K138" s="17" t="str">
        <f>VLOOKUP($B138,ogd_smn_meta_parameters[],K$1,FALSE)</f>
        <v>km/h</v>
      </c>
      <c r="P138">
        <f t="shared" ref="P138" si="147">FIND(P$1,$A138)+LEN(P$1)</f>
        <v>16</v>
      </c>
      <c r="Q138">
        <f t="shared" ref="Q138" si="148">FIND(Q$1,$A138)-P138</f>
        <v>8</v>
      </c>
      <c r="S138">
        <f t="shared" ref="S138" si="149">FIND(S$1,$A139)+LEN(S$1)</f>
        <v>16</v>
      </c>
      <c r="T138">
        <f t="shared" ref="T138" si="150">FIND(T$1,$A139,S138)+LEN(T$1)</f>
        <v>24</v>
      </c>
      <c r="U138">
        <f t="shared" ref="U138" si="151">FIND(U$1,$A139)-T138</f>
        <v>14</v>
      </c>
      <c r="W138">
        <f t="shared" ref="W138" si="152">FIND(W$1,$A136)+LEN(W$1)</f>
        <v>13</v>
      </c>
      <c r="X138">
        <f t="shared" ref="X138" si="153">FIND(X$1,$A136)-W138</f>
        <v>42</v>
      </c>
    </row>
    <row r="139" spans="1:24" hidden="1" x14ac:dyDescent="0.35">
      <c r="A139" t="s">
        <v>2216</v>
      </c>
    </row>
    <row r="140" spans="1:24" hidden="1" x14ac:dyDescent="0.35"/>
    <row r="141" spans="1:24" hidden="1" x14ac:dyDescent="0.35">
      <c r="A141" t="s">
        <v>2146</v>
      </c>
    </row>
    <row r="142" spans="1:24" hidden="1" x14ac:dyDescent="0.35">
      <c r="A142" t="s">
        <v>2217</v>
      </c>
    </row>
    <row r="143" spans="1:24" hidden="1" x14ac:dyDescent="0.35">
      <c r="A143" t="s">
        <v>2148</v>
      </c>
    </row>
    <row r="144" spans="1:24" x14ac:dyDescent="0.35">
      <c r="A144" t="s">
        <v>2218</v>
      </c>
      <c r="B144" s="10" t="str">
        <f>MID($A144,P144,Q144)</f>
        <v>rre150z0</v>
      </c>
      <c r="C144" s="10" t="str">
        <f>MID($A145,T144,U144)</f>
        <v>Precipitation</v>
      </c>
      <c r="D144" s="10" t="str">
        <f>MID($A142,W144,X144)</f>
        <v>Precipitation; ten minutes total in mm</v>
      </c>
      <c r="E144" s="9" t="str">
        <f>VLOOKUP($B144,ogd_smn_meta_parameters[],1,FALSE)</f>
        <v>rre150z0</v>
      </c>
      <c r="F144" s="8" t="str">
        <f>VLOOKUP($B144,ogd_smn_meta_parameters[],F$1,FALSE)</f>
        <v>Precipitation; ten minutes total</v>
      </c>
      <c r="G144" s="8" t="str">
        <f>VLOOKUP($B144,ogd_smn_meta_parameters[],G$1,FALSE)</f>
        <v>Precipitation</v>
      </c>
      <c r="H144" s="17" t="str">
        <f>VLOOKUP($B144,ogd_smn_meta_parameters[],H$1,FALSE)</f>
        <v>T</v>
      </c>
      <c r="I144" s="17">
        <f>VLOOKUP($B144,ogd_smn_meta_parameters[],I$1,FALSE)</f>
        <v>1</v>
      </c>
      <c r="J144" s="17" t="str">
        <f>VLOOKUP($B144,ogd_smn_meta_parameters[],J$1,FALSE)</f>
        <v>Float</v>
      </c>
      <c r="K144" s="17" t="str">
        <f>VLOOKUP($B144,ogd_smn_meta_parameters[],K$1,FALSE)</f>
        <v>mm</v>
      </c>
      <c r="P144">
        <f t="shared" ref="P144" si="154">FIND(P$1,$A144)+LEN(P$1)</f>
        <v>16</v>
      </c>
      <c r="Q144">
        <f t="shared" ref="Q144" si="155">FIND(Q$1,$A144)-P144</f>
        <v>8</v>
      </c>
      <c r="S144">
        <f t="shared" ref="S144" si="156">FIND(S$1,$A145)+LEN(S$1)</f>
        <v>16</v>
      </c>
      <c r="T144">
        <f t="shared" ref="T144" si="157">FIND(T$1,$A145,S144)+LEN(T$1)</f>
        <v>24</v>
      </c>
      <c r="U144">
        <f t="shared" ref="U144" si="158">FIND(U$1,$A145)-T144</f>
        <v>13</v>
      </c>
      <c r="W144">
        <f t="shared" ref="W144" si="159">FIND(W$1,$A142)+LEN(W$1)</f>
        <v>13</v>
      </c>
      <c r="X144">
        <f t="shared" ref="X144" si="160">FIND(X$1,$A142)-W144</f>
        <v>38</v>
      </c>
    </row>
    <row r="145" spans="1:24" hidden="1" x14ac:dyDescent="0.35">
      <c r="A145" t="s">
        <v>2219</v>
      </c>
    </row>
    <row r="146" spans="1:24" hidden="1" x14ac:dyDescent="0.35"/>
    <row r="147" spans="1:24" hidden="1" x14ac:dyDescent="0.35">
      <c r="A147" t="s">
        <v>2146</v>
      </c>
    </row>
    <row r="148" spans="1:24" hidden="1" x14ac:dyDescent="0.35">
      <c r="A148" t="s">
        <v>2220</v>
      </c>
    </row>
    <row r="149" spans="1:24" hidden="1" x14ac:dyDescent="0.35">
      <c r="A149" t="s">
        <v>2148</v>
      </c>
    </row>
    <row r="150" spans="1:24" x14ac:dyDescent="0.35">
      <c r="A150" t="s">
        <v>2221</v>
      </c>
      <c r="B150" s="10" t="str">
        <f>MID($A150,P150,Q150)</f>
        <v>htoauts0</v>
      </c>
      <c r="C150" s="10" t="str">
        <f>MID($A151,T150,U150)</f>
        <v>SnowDepth</v>
      </c>
      <c r="D150" s="10" t="str">
        <f>MID($A148,W150,X150)</f>
        <v>Snow depth (automatic measurement); current value in cm</v>
      </c>
      <c r="E150" s="9" t="str">
        <f>VLOOKUP($B150,ogd_smn_meta_parameters[],1,FALSE)</f>
        <v>htoauts0</v>
      </c>
      <c r="F150" s="8" t="str">
        <f>VLOOKUP($B150,ogd_smn_meta_parameters[],F$1,FALSE)</f>
        <v>Snow depth (automatic measurement); current value</v>
      </c>
      <c r="G150" s="8" t="str">
        <f>VLOOKUP($B150,ogd_smn_meta_parameters[],G$1,FALSE)</f>
        <v>snow</v>
      </c>
      <c r="H150" s="17" t="str">
        <f>VLOOKUP($B150,ogd_smn_meta_parameters[],H$1,FALSE)</f>
        <v>T</v>
      </c>
      <c r="I150" s="17">
        <f>VLOOKUP($B150,ogd_smn_meta_parameters[],I$1,FALSE)</f>
        <v>0</v>
      </c>
      <c r="J150" s="17" t="str">
        <f>VLOOKUP($B150,ogd_smn_meta_parameters[],J$1,FALSE)</f>
        <v>Integer</v>
      </c>
      <c r="K150" s="17" t="str">
        <f>VLOOKUP($B150,ogd_smn_meta_parameters[],K$1,FALSE)</f>
        <v>cm</v>
      </c>
      <c r="P150">
        <f t="shared" ref="P150" si="161">FIND(P$1,$A150)+LEN(P$1)</f>
        <v>16</v>
      </c>
      <c r="Q150">
        <f t="shared" ref="Q150" si="162">FIND(Q$1,$A150)-P150</f>
        <v>8</v>
      </c>
      <c r="S150">
        <f t="shared" ref="S150" si="163">FIND(S$1,$A151)+LEN(S$1)</f>
        <v>16</v>
      </c>
      <c r="T150">
        <f t="shared" ref="T150" si="164">FIND(T$1,$A151,S150)+LEN(T$1)</f>
        <v>24</v>
      </c>
      <c r="U150">
        <f t="shared" ref="U150" si="165">FIND(U$1,$A151)-T150</f>
        <v>9</v>
      </c>
      <c r="W150">
        <f t="shared" ref="W150" si="166">FIND(W$1,$A148)+LEN(W$1)</f>
        <v>13</v>
      </c>
      <c r="X150">
        <f t="shared" ref="X150" si="167">FIND(X$1,$A148)-W150</f>
        <v>55</v>
      </c>
    </row>
    <row r="151" spans="1:24" hidden="1" x14ac:dyDescent="0.35">
      <c r="A151" t="s">
        <v>2222</v>
      </c>
    </row>
    <row r="152" spans="1:24" hidden="1" x14ac:dyDescent="0.35"/>
    <row r="153" spans="1:24" hidden="1" x14ac:dyDescent="0.35">
      <c r="A153" t="s">
        <v>2146</v>
      </c>
    </row>
    <row r="154" spans="1:24" hidden="1" x14ac:dyDescent="0.35">
      <c r="A154" t="s">
        <v>2223</v>
      </c>
    </row>
    <row r="155" spans="1:24" hidden="1" x14ac:dyDescent="0.35">
      <c r="A155" t="s">
        <v>2148</v>
      </c>
    </row>
    <row r="156" spans="1:24" x14ac:dyDescent="0.35">
      <c r="A156" t="s">
        <v>2224</v>
      </c>
      <c r="B156" s="14" t="str">
        <f>MID($A156,P156,Q156)</f>
        <v>gre000z0</v>
      </c>
      <c r="C156" s="14" t="str">
        <f>MID($A157,T156,U156)</f>
        <v>GlobalRadiation</v>
      </c>
      <c r="D156" s="14" t="str">
        <f>MID($A154,W156,X156)</f>
        <v>Global radiation; ten minutes mean in W/m²</v>
      </c>
      <c r="E156" s="9" t="str">
        <f>VLOOKUP($B156,ogd_smn_meta_parameters[],1,FALSE)</f>
        <v>gre000z0</v>
      </c>
      <c r="F156" s="20" t="str">
        <f>VLOOKUP($B156,ogd_smn_meta_parameters[],F$1,FALSE)</f>
        <v>Global radiation; ten minutes mean</v>
      </c>
      <c r="G156" s="20" t="str">
        <f>VLOOKUP($B156,ogd_smn_meta_parameters[],G$1,FALSE)</f>
        <v>Radiation</v>
      </c>
      <c r="H156" s="21" t="str">
        <f>VLOOKUP($B156,ogd_smn_meta_parameters[],H$1,FALSE)</f>
        <v>T</v>
      </c>
      <c r="I156" s="21">
        <f>VLOOKUP($B156,ogd_smn_meta_parameters[],I$1,FALSE)</f>
        <v>0</v>
      </c>
      <c r="J156" s="21" t="str">
        <f>VLOOKUP($B156,ogd_smn_meta_parameters[],J$1,FALSE)</f>
        <v>Integer</v>
      </c>
      <c r="K156" s="21" t="str">
        <f>VLOOKUP($B156,ogd_smn_meta_parameters[],K$1,FALSE)</f>
        <v>W/m²</v>
      </c>
      <c r="P156">
        <f t="shared" ref="P156" si="168">FIND(P$1,$A156)+LEN(P$1)</f>
        <v>16</v>
      </c>
      <c r="Q156">
        <f t="shared" ref="Q156" si="169">FIND(Q$1,$A156)-P156</f>
        <v>8</v>
      </c>
      <c r="S156">
        <f t="shared" ref="S156" si="170">FIND(S$1,$A157)+LEN(S$1)</f>
        <v>16</v>
      </c>
      <c r="T156">
        <f t="shared" ref="T156" si="171">FIND(T$1,$A157,S156)+LEN(T$1)</f>
        <v>24</v>
      </c>
      <c r="U156">
        <f t="shared" ref="U156" si="172">FIND(U$1,$A157)-T156</f>
        <v>15</v>
      </c>
      <c r="W156">
        <f t="shared" ref="W156" si="173">FIND(W$1,$A154)+LEN(W$1)</f>
        <v>13</v>
      </c>
      <c r="X156">
        <f t="shared" ref="X156" si="174">FIND(X$1,$A154)-W156</f>
        <v>42</v>
      </c>
    </row>
    <row r="157" spans="1:24" hidden="1" x14ac:dyDescent="0.35">
      <c r="A157" t="s">
        <v>2225</v>
      </c>
    </row>
    <row r="158" spans="1:24" hidden="1" x14ac:dyDescent="0.35"/>
    <row r="159" spans="1:24" hidden="1" x14ac:dyDescent="0.35">
      <c r="A159" t="s">
        <v>2146</v>
      </c>
    </row>
    <row r="160" spans="1:24" hidden="1" x14ac:dyDescent="0.35">
      <c r="A160" t="s">
        <v>2226</v>
      </c>
    </row>
    <row r="161" spans="1:24" hidden="1" x14ac:dyDescent="0.35">
      <c r="A161" t="s">
        <v>2148</v>
      </c>
    </row>
    <row r="162" spans="1:24" x14ac:dyDescent="0.35">
      <c r="A162" t="s">
        <v>2227</v>
      </c>
      <c r="B162" s="14" t="str">
        <f>MID($A162,P162,Q162)</f>
        <v>ods000z0</v>
      </c>
      <c r="C162" s="14" t="str">
        <f>MID($A163,T162,U162)</f>
        <v>DiffuseRadiation</v>
      </c>
      <c r="D162" s="14" t="str">
        <f>MID($A160,W162,X162)</f>
        <v>Diffuse radiation; ten minutes mean in W/m²</v>
      </c>
      <c r="E162" s="22" t="str">
        <f>VLOOKUP($B162,ogd_smn_meta_parameters[],1,FALSE)</f>
        <v>ods000z0</v>
      </c>
      <c r="F162" s="20" t="str">
        <f>VLOOKUP($B162,ogd_smn_meta_parameters[],F$1,FALSE)</f>
        <v>Diffuse radiation; ten minutes mean</v>
      </c>
      <c r="G162" s="20" t="str">
        <f>VLOOKUP($B162,ogd_smn_meta_parameters[],G$1,FALSE)</f>
        <v>Radiation</v>
      </c>
      <c r="H162" s="21" t="str">
        <f>VLOOKUP($B162,ogd_smn_meta_parameters[],H$1,FALSE)</f>
        <v>T</v>
      </c>
      <c r="I162" s="21">
        <f>VLOOKUP($B162,ogd_smn_meta_parameters[],I$1,FALSE)</f>
        <v>0</v>
      </c>
      <c r="J162" s="21" t="str">
        <f>VLOOKUP($B162,ogd_smn_meta_parameters[],J$1,FALSE)</f>
        <v>Integer</v>
      </c>
      <c r="K162" s="21" t="str">
        <f>VLOOKUP($B162,ogd_smn_meta_parameters[],K$1,FALSE)</f>
        <v>W/m²</v>
      </c>
      <c r="P162">
        <f t="shared" ref="P162" si="175">FIND(P$1,$A162)+LEN(P$1)</f>
        <v>16</v>
      </c>
      <c r="Q162">
        <f t="shared" ref="Q162" si="176">FIND(Q$1,$A162)-P162</f>
        <v>8</v>
      </c>
      <c r="S162">
        <f t="shared" ref="S162" si="177">FIND(S$1,$A163)+LEN(S$1)</f>
        <v>16</v>
      </c>
      <c r="T162">
        <f t="shared" ref="T162" si="178">FIND(T$1,$A163,S162)+LEN(T$1)</f>
        <v>24</v>
      </c>
      <c r="U162">
        <f t="shared" ref="U162" si="179">FIND(U$1,$A163)-T162</f>
        <v>16</v>
      </c>
      <c r="W162">
        <f t="shared" ref="W162" si="180">FIND(W$1,$A160)+LEN(W$1)</f>
        <v>13</v>
      </c>
      <c r="X162">
        <f t="shared" ref="X162" si="181">FIND(X$1,$A160)-W162</f>
        <v>43</v>
      </c>
    </row>
    <row r="163" spans="1:24" hidden="1" x14ac:dyDescent="0.35">
      <c r="A163" t="s">
        <v>2228</v>
      </c>
    </row>
    <row r="164" spans="1:24" hidden="1" x14ac:dyDescent="0.35"/>
    <row r="165" spans="1:24" hidden="1" x14ac:dyDescent="0.35">
      <c r="A165" t="s">
        <v>2146</v>
      </c>
    </row>
    <row r="166" spans="1:24" hidden="1" x14ac:dyDescent="0.35">
      <c r="A166" t="s">
        <v>2229</v>
      </c>
    </row>
    <row r="167" spans="1:24" hidden="1" x14ac:dyDescent="0.35">
      <c r="A167" t="s">
        <v>2148</v>
      </c>
    </row>
    <row r="168" spans="1:24" x14ac:dyDescent="0.35">
      <c r="A168" t="s">
        <v>2230</v>
      </c>
      <c r="B168" s="10" t="str">
        <f>MID($A168,P168,Q168)</f>
        <v>oli000z0</v>
      </c>
      <c r="C168" s="10" t="str">
        <f>MID($A169,T168,U168)</f>
        <v>LongwaveRadiationIncoming</v>
      </c>
      <c r="D168" s="10" t="str">
        <f>MID($A166,W168,X168)</f>
        <v>Longwave incoming radiation; ten minutes mean in W/m²</v>
      </c>
      <c r="E168" s="9" t="str">
        <f>VLOOKUP($B168,ogd_smn_meta_parameters[],1,FALSE)</f>
        <v>oli000z0</v>
      </c>
      <c r="F168" s="8" t="str">
        <f>VLOOKUP($B168,ogd_smn_meta_parameters[],F$1,FALSE)</f>
        <v>Longwave incoming radiation; ten minutes mean</v>
      </c>
      <c r="G168" s="8" t="str">
        <f>VLOOKUP($B168,ogd_smn_meta_parameters[],G$1,FALSE)</f>
        <v>Radiation</v>
      </c>
      <c r="H168" s="17" t="str">
        <f>VLOOKUP($B168,ogd_smn_meta_parameters[],H$1,FALSE)</f>
        <v>T</v>
      </c>
      <c r="I168" s="17">
        <f>VLOOKUP($B168,ogd_smn_meta_parameters[],I$1,FALSE)</f>
        <v>0</v>
      </c>
      <c r="J168" s="17" t="str">
        <f>VLOOKUP($B168,ogd_smn_meta_parameters[],J$1,FALSE)</f>
        <v>Integer</v>
      </c>
      <c r="K168" s="17" t="str">
        <f>VLOOKUP($B168,ogd_smn_meta_parameters[],K$1,FALSE)</f>
        <v>W/m²</v>
      </c>
      <c r="P168">
        <f t="shared" ref="P168" si="182">FIND(P$1,$A168)+LEN(P$1)</f>
        <v>16</v>
      </c>
      <c r="Q168">
        <f t="shared" ref="Q168" si="183">FIND(Q$1,$A168)-P168</f>
        <v>8</v>
      </c>
      <c r="S168">
        <f t="shared" ref="S168" si="184">FIND(S$1,$A169)+LEN(S$1)</f>
        <v>16</v>
      </c>
      <c r="T168">
        <f t="shared" ref="T168" si="185">FIND(T$1,$A169,S168)+LEN(T$1)</f>
        <v>24</v>
      </c>
      <c r="U168">
        <f t="shared" ref="U168" si="186">FIND(U$1,$A169)-T168</f>
        <v>25</v>
      </c>
      <c r="W168">
        <f t="shared" ref="W168" si="187">FIND(W$1,$A166)+LEN(W$1)</f>
        <v>13</v>
      </c>
      <c r="X168">
        <f t="shared" ref="X168" si="188">FIND(X$1,$A166)-W168</f>
        <v>53</v>
      </c>
    </row>
    <row r="169" spans="1:24" hidden="1" x14ac:dyDescent="0.35">
      <c r="A169" t="s">
        <v>2231</v>
      </c>
    </row>
    <row r="170" spans="1:24" hidden="1" x14ac:dyDescent="0.35"/>
    <row r="171" spans="1:24" hidden="1" x14ac:dyDescent="0.35">
      <c r="A171" t="s">
        <v>2146</v>
      </c>
    </row>
    <row r="172" spans="1:24" hidden="1" x14ac:dyDescent="0.35">
      <c r="A172" t="s">
        <v>2232</v>
      </c>
    </row>
    <row r="173" spans="1:24" hidden="1" x14ac:dyDescent="0.35">
      <c r="A173" t="s">
        <v>2148</v>
      </c>
    </row>
    <row r="174" spans="1:24" x14ac:dyDescent="0.35">
      <c r="A174" t="s">
        <v>2233</v>
      </c>
      <c r="B174" s="10" t="str">
        <f>MID($A174,P174,Q174)</f>
        <v>olo000z0</v>
      </c>
      <c r="C174" s="10" t="str">
        <f>MID($A175,T174,U174)</f>
        <v>LongwaveRadiationOutgoing</v>
      </c>
      <c r="D174" s="10" t="str">
        <f>MID($A172,W174,X174)</f>
        <v>Longwave outgoing radiation; ten minute mean in W/m²</v>
      </c>
      <c r="E174" s="9" t="str">
        <f>VLOOKUP($B174,ogd_smn_meta_parameters[],1,FALSE)</f>
        <v>olo000z0</v>
      </c>
      <c r="F174" s="8" t="str">
        <f>VLOOKUP($B174,ogd_smn_meta_parameters[],F$1,FALSE)</f>
        <v>Longwave outgoing radiation; ten minute mean</v>
      </c>
      <c r="G174" s="8" t="str">
        <f>VLOOKUP($B174,ogd_smn_meta_parameters[],G$1,FALSE)</f>
        <v>Radiation</v>
      </c>
      <c r="H174" s="17" t="str">
        <f>VLOOKUP($B174,ogd_smn_meta_parameters[],H$1,FALSE)</f>
        <v>T</v>
      </c>
      <c r="I174" s="17">
        <f>VLOOKUP($B174,ogd_smn_meta_parameters[],I$1,FALSE)</f>
        <v>0</v>
      </c>
      <c r="J174" s="17" t="str">
        <f>VLOOKUP($B174,ogd_smn_meta_parameters[],J$1,FALSE)</f>
        <v>Integer</v>
      </c>
      <c r="K174" s="17" t="str">
        <f>VLOOKUP($B174,ogd_smn_meta_parameters[],K$1,FALSE)</f>
        <v>W/m²</v>
      </c>
      <c r="P174">
        <f t="shared" ref="P174" si="189">FIND(P$1,$A174)+LEN(P$1)</f>
        <v>16</v>
      </c>
      <c r="Q174">
        <f t="shared" ref="Q174" si="190">FIND(Q$1,$A174)-P174</f>
        <v>8</v>
      </c>
      <c r="S174">
        <f t="shared" ref="S174" si="191">FIND(S$1,$A175)+LEN(S$1)</f>
        <v>16</v>
      </c>
      <c r="T174">
        <f t="shared" ref="T174" si="192">FIND(T$1,$A175,S174)+LEN(T$1)</f>
        <v>24</v>
      </c>
      <c r="U174">
        <f t="shared" ref="U174" si="193">FIND(U$1,$A175)-T174</f>
        <v>25</v>
      </c>
      <c r="W174">
        <f t="shared" ref="W174" si="194">FIND(W$1,$A172)+LEN(W$1)</f>
        <v>13</v>
      </c>
      <c r="X174">
        <f t="shared" ref="X174" si="195">FIND(X$1,$A172)-W174</f>
        <v>52</v>
      </c>
    </row>
    <row r="175" spans="1:24" hidden="1" x14ac:dyDescent="0.35">
      <c r="A175" t="s">
        <v>2234</v>
      </c>
    </row>
    <row r="176" spans="1:24" hidden="1" x14ac:dyDescent="0.35"/>
    <row r="177" spans="1:24" hidden="1" x14ac:dyDescent="0.35">
      <c r="A177" t="s">
        <v>2146</v>
      </c>
    </row>
    <row r="178" spans="1:24" hidden="1" x14ac:dyDescent="0.35">
      <c r="A178" t="s">
        <v>2235</v>
      </c>
    </row>
    <row r="179" spans="1:24" hidden="1" x14ac:dyDescent="0.35">
      <c r="A179" t="s">
        <v>2148</v>
      </c>
    </row>
    <row r="180" spans="1:24" x14ac:dyDescent="0.35">
      <c r="A180" t="s">
        <v>2236</v>
      </c>
      <c r="B180" s="10" t="str">
        <f>MID($A180,P180,Q180)</f>
        <v>osr000z0</v>
      </c>
      <c r="C180" s="10" t="str">
        <f>MID($A181,T180,U180)</f>
        <v>ShortwaveRadiationReflected</v>
      </c>
      <c r="D180" s="10" t="str">
        <f>MID($A178,W180,X180)</f>
        <v>Shortwave reflected radiation; ten minute mean in W/m²</v>
      </c>
      <c r="E180" s="9" t="str">
        <f>VLOOKUP($B180,ogd_smn_meta_parameters[],1,FALSE)</f>
        <v>osr000z0</v>
      </c>
      <c r="F180" s="8" t="str">
        <f>VLOOKUP($B180,ogd_smn_meta_parameters[],F$1,FALSE)</f>
        <v>Shortwave reflected radiation; ten minute mean</v>
      </c>
      <c r="G180" s="8" t="str">
        <f>VLOOKUP($B180,ogd_smn_meta_parameters[],G$1,FALSE)</f>
        <v>Radiation</v>
      </c>
      <c r="H180" s="17" t="str">
        <f>VLOOKUP($B180,ogd_smn_meta_parameters[],H$1,FALSE)</f>
        <v>T</v>
      </c>
      <c r="I180" s="17">
        <f>VLOOKUP($B180,ogd_smn_meta_parameters[],I$1,FALSE)</f>
        <v>0</v>
      </c>
      <c r="J180" s="17" t="str">
        <f>VLOOKUP($B180,ogd_smn_meta_parameters[],J$1,FALSE)</f>
        <v>Integer</v>
      </c>
      <c r="K180" s="17" t="str">
        <f>VLOOKUP($B180,ogd_smn_meta_parameters[],K$1,FALSE)</f>
        <v>W/m²</v>
      </c>
      <c r="P180">
        <f t="shared" ref="P180" si="196">FIND(P$1,$A180)+LEN(P$1)</f>
        <v>16</v>
      </c>
      <c r="Q180">
        <f t="shared" ref="Q180" si="197">FIND(Q$1,$A180)-P180</f>
        <v>8</v>
      </c>
      <c r="S180">
        <f t="shared" ref="S180" si="198">FIND(S$1,$A181)+LEN(S$1)</f>
        <v>16</v>
      </c>
      <c r="T180">
        <f t="shared" ref="T180" si="199">FIND(T$1,$A181,S180)+LEN(T$1)</f>
        <v>24</v>
      </c>
      <c r="U180">
        <f t="shared" ref="U180" si="200">FIND(U$1,$A181)-T180</f>
        <v>27</v>
      </c>
      <c r="W180">
        <f t="shared" ref="W180" si="201">FIND(W$1,$A178)+LEN(W$1)</f>
        <v>13</v>
      </c>
      <c r="X180">
        <f t="shared" ref="X180" si="202">FIND(X$1,$A178)-W180</f>
        <v>54</v>
      </c>
    </row>
    <row r="181" spans="1:24" hidden="1" x14ac:dyDescent="0.35">
      <c r="A181" t="s">
        <v>2237</v>
      </c>
    </row>
    <row r="182" spans="1:24" hidden="1" x14ac:dyDescent="0.35"/>
    <row r="183" spans="1:24" hidden="1" x14ac:dyDescent="0.35">
      <c r="A183" t="s">
        <v>2146</v>
      </c>
    </row>
    <row r="184" spans="1:24" hidden="1" x14ac:dyDescent="0.35">
      <c r="A184" t="s">
        <v>2238</v>
      </c>
    </row>
    <row r="185" spans="1:24" hidden="1" x14ac:dyDescent="0.35">
      <c r="A185" t="s">
        <v>2148</v>
      </c>
    </row>
    <row r="186" spans="1:24" x14ac:dyDescent="0.35">
      <c r="A186" t="s">
        <v>2239</v>
      </c>
      <c r="B186" s="14" t="str">
        <f>MID($A186,P186,Q186)</f>
        <v>sre000z0</v>
      </c>
      <c r="C186" s="14" t="str">
        <f>MID($A187,T186,U186)</f>
        <v>SunshineDuration</v>
      </c>
      <c r="D186" s="14" t="str">
        <f>MID($A184,W186,X186)</f>
        <v>Sunshine duration; ten minutes total in min</v>
      </c>
      <c r="E186" s="9" t="str">
        <f>VLOOKUP($B186,ogd_smn_meta_parameters[],1,FALSE)</f>
        <v>sre000z0</v>
      </c>
      <c r="F186" s="20" t="str">
        <f>VLOOKUP($B186,ogd_smn_meta_parameters[],F$1,FALSE)</f>
        <v>Sunshine duration; ten minutes total</v>
      </c>
      <c r="G186" s="20" t="str">
        <f>VLOOKUP($B186,ogd_smn_meta_parameters[],G$1,FALSE)</f>
        <v>Sunshine</v>
      </c>
      <c r="H186" s="21" t="str">
        <f>VLOOKUP($B186,ogd_smn_meta_parameters[],H$1,FALSE)</f>
        <v>T</v>
      </c>
      <c r="I186" s="21">
        <f>VLOOKUP($B186,ogd_smn_meta_parameters[],I$1,FALSE)</f>
        <v>0</v>
      </c>
      <c r="J186" s="21" t="str">
        <f>VLOOKUP($B186,ogd_smn_meta_parameters[],J$1,FALSE)</f>
        <v>Integer</v>
      </c>
      <c r="K186" s="21" t="str">
        <f>VLOOKUP($B186,ogd_smn_meta_parameters[],K$1,FALSE)</f>
        <v>min</v>
      </c>
      <c r="P186">
        <f t="shared" ref="P186" si="203">FIND(P$1,$A186)+LEN(P$1)</f>
        <v>16</v>
      </c>
      <c r="Q186">
        <f t="shared" ref="Q186" si="204">FIND(Q$1,$A186)-P186</f>
        <v>8</v>
      </c>
      <c r="S186">
        <f t="shared" ref="S186" si="205">FIND(S$1,$A187)+LEN(S$1)</f>
        <v>16</v>
      </c>
      <c r="T186">
        <f t="shared" ref="T186" si="206">FIND(T$1,$A187,S186)+LEN(T$1)</f>
        <v>24</v>
      </c>
      <c r="U186">
        <f t="shared" ref="U186" si="207">FIND(U$1,$A187)-T186</f>
        <v>16</v>
      </c>
      <c r="W186">
        <f t="shared" ref="W186" si="208">FIND(W$1,$A184)+LEN(W$1)</f>
        <v>13</v>
      </c>
      <c r="X186">
        <f t="shared" ref="X186" si="209">FIND(X$1,$A184)-W186</f>
        <v>43</v>
      </c>
    </row>
    <row r="187" spans="1:24" hidden="1" x14ac:dyDescent="0.35">
      <c r="A187" t="s">
        <v>2240</v>
      </c>
    </row>
    <row r="190" spans="1:24" x14ac:dyDescent="0.35">
      <c r="B190" t="s">
        <v>1422</v>
      </c>
      <c r="C190" t="s">
        <v>2252</v>
      </c>
      <c r="D190" t="s">
        <v>1426</v>
      </c>
    </row>
    <row r="191" spans="1:24" x14ac:dyDescent="0.35">
      <c r="B191" t="s">
        <v>1337</v>
      </c>
      <c r="C191" t="s">
        <v>2253</v>
      </c>
      <c r="D191" t="s">
        <v>2254</v>
      </c>
    </row>
    <row r="192" spans="1:24" x14ac:dyDescent="0.35">
      <c r="B192" t="s">
        <v>2089</v>
      </c>
      <c r="C192" t="s">
        <v>2255</v>
      </c>
      <c r="D192" t="s">
        <v>2256</v>
      </c>
    </row>
    <row r="193" spans="2:4" x14ac:dyDescent="0.35">
      <c r="B193" t="s">
        <v>1488</v>
      </c>
      <c r="C193" t="s">
        <v>2257</v>
      </c>
      <c r="D193" t="s">
        <v>1492</v>
      </c>
    </row>
  </sheetData>
  <autoFilter ref="A2:K187" xr:uid="{3FCE3962-0202-442B-87AE-E6E67D7807BD}">
    <filterColumn colId="1">
      <customFilters>
        <customFilter operator="notEqual" val=" "/>
      </customFilters>
    </filterColumn>
  </autoFilter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F7586C-FD15-4214-9F5D-32140509EC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stations_per_canton</vt:lpstr>
      <vt:lpstr>ogd-smn_meta_stations</vt:lpstr>
      <vt:lpstr>ogd-smn-tower_meta_stations</vt:lpstr>
      <vt:lpstr>ogd-smn_meta_parameters</vt:lpstr>
      <vt:lpstr>T_parameters_overview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Bernegger</dc:creator>
  <cp:lastModifiedBy>Stefan Bernegger</cp:lastModifiedBy>
  <dcterms:created xsi:type="dcterms:W3CDTF">2025-11-13T20:55:29Z</dcterms:created>
  <dcterms:modified xsi:type="dcterms:W3CDTF">2025-11-17T02:42:30Z</dcterms:modified>
</cp:coreProperties>
</file>